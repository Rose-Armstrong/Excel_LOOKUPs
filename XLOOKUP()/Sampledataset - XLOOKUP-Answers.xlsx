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5ba02830c477b79/Desktop/Power BI projects/EXCEL/"/>
    </mc:Choice>
  </mc:AlternateContent>
  <xr:revisionPtr revIDLastSave="307" documentId="8_{3E8F6666-AB4A-42E3-A69A-BA95EED16949}" xr6:coauthVersionLast="47" xr6:coauthVersionMax="47" xr10:uidLastSave="{68571327-C67A-4B50-88B7-9921A9B97978}"/>
  <bookViews>
    <workbookView xWindow="-108" yWindow="-108" windowWidth="23256" windowHeight="13176" firstSheet="3" activeTab="3" xr2:uid="{3D6EEDC6-63AC-4240-B1DC-D7CB750EB9E0}"/>
  </bookViews>
  <sheets>
    <sheet name="DATA" sheetId="10" r:id="rId1"/>
    <sheet name="Xlookup" sheetId="11" r:id="rId2"/>
    <sheet name="Example 2_notfound" sheetId="13" r:id="rId3"/>
    <sheet name="Example 3_Search Order" sheetId="16" r:id="rId4"/>
    <sheet name="Example 4_Multiple Columns" sheetId="14" r:id="rId5"/>
    <sheet name="Example 5_Searchmode" sheetId="15" r:id="rId6"/>
    <sheet name="Xlookup_removecol" sheetId="1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8" i="17" l="1"/>
  <c r="C23" i="15"/>
  <c r="C17" i="15"/>
  <c r="C17" i="14" a="1"/>
  <c r="C17" i="14" s="1"/>
  <c r="D17" i="16"/>
  <c r="C17" i="13"/>
  <c r="C18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6CDD0D-DA5F-4437-98B0-41634A42AC33}" keepAlive="1" name="Query - Table6" description="Connection to the 'Table6' query in the workbook." type="5" refreshedVersion="8" background="1" saveData="1">
    <dbPr connection="Provider=Microsoft.Mashup.OleDb.1;Data Source=$Workbook$;Location=Table6;Extended Properties=&quot;&quot;" command="SELECT * FROM [Table6]"/>
  </connection>
  <connection id="2" xr16:uid="{A94F1C84-44DB-4336-A0DA-12634A9CCDF0}" keepAlive="1" name="Query - Table6 (2)" description="Connection to the 'Table6 (2)' query in the workbook." type="5" refreshedVersion="8" background="1" saveData="1">
    <dbPr connection="Provider=Microsoft.Mashup.OleDb.1;Data Source=$Workbook$;Location=&quot;Table6 (2)&quot;;Extended Properties=&quot;&quot;" command="SELECT * FROM [Table6 (2)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<sst xmlns="http://schemas.openxmlformats.org/spreadsheetml/2006/main" count="503" uniqueCount="113">
  <si>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</si>
  <si>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</si>
  <si>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</si>
  <si>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</si>
  <si>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</si>
  <si>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</si>
  <si>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</si>
  <si>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</si>
  <si>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</si>
  <si>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</si>
  <si>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</si>
  <si>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</si>
  <si>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</si>
  <si>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</si>
  <si>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</si>
  <si>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</si>
  <si>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</si>
  <si>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</si>
  <si>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</si>
  <si>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</si>
  <si>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</si>
  <si>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</si>
  <si>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</si>
  <si>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</si>
  <si>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</si>
  <si>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</si>
  <si>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</si>
  <si>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</si>
  <si>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</si>
  <si>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</si>
  <si>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</si>
  <si>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</si>
  <si>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</si>
  <si>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</si>
  <si>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</si>
  <si>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</si>
  <si>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</si>
  <si>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</si>
  <si>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</si>
  <si>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</si>
  <si>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</si>
  <si>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</si>
  <si>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</si>
  <si>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</si>
  <si>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</si>
  <si>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</si>
  <si>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</si>
  <si>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</si>
  <si>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</si>
  <si>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</si>
  <si>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</si>
  <si>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</si>
  <si>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</si>
  <si>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</si>
  <si>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</si>
  <si>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</si>
  <si>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</si>
  <si>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</si>
  <si>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</si>
  <si>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</si>
  <si>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</si>
  <si>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</si>
  <si>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</si>
  <si>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</si>
  <si>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</si>
  <si>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</si>
  <si>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</si>
  <si>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</si>
  <si>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</si>
  <si>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</si>
  <si>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</si>
  <si>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</si>
  <si>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</si>
  <si>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</si>
  <si>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</si>
  <si>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</si>
  <si>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</si>
  <si>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</si>
  <si>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</si>
  <si>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</si>
  <si>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</si>
  <si>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</si>
  <si>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</si>
  <si>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LookupValue = "Brosina Hoffman"</t>
  </si>
  <si>
    <t>True/1= approximate match</t>
  </si>
  <si>
    <t>False/0= exact match</t>
  </si>
  <si>
    <t>LookupValue = "Hon Deluxe Fabric Upholstered Stacking Chairs, Rounded Back"</t>
  </si>
  <si>
    <t>Expected output: Eldon Expressions Wood and Plastic Desk Accessories, Cherry Wood</t>
  </si>
  <si>
    <t>lookup_array= A2:A13</t>
  </si>
  <si>
    <t>return_array = C2:C13</t>
  </si>
  <si>
    <t>if_not_found= "any message you wish to type"</t>
  </si>
  <si>
    <t>return_array = C2:C3 (After removing a column)</t>
  </si>
  <si>
    <t>Mc Donald</t>
  </si>
  <si>
    <t>Expected Output: not found</t>
  </si>
  <si>
    <t>LookupValue = "Mc Donald"</t>
  </si>
  <si>
    <t>if_not_found= "not found"</t>
  </si>
  <si>
    <t>return_array = G2:G13</t>
  </si>
  <si>
    <t>LookupValue = "Darrin Van Huff"</t>
  </si>
  <si>
    <t xml:space="preserve">Expected Output: </t>
  </si>
  <si>
    <t>if_not_found= ""</t>
  </si>
  <si>
    <t>return_array = C2:D13</t>
  </si>
  <si>
    <t>Expected output:Konftel 250 ConferenceÂ phoneÂ - Charcoal black</t>
  </si>
  <si>
    <t>search_mode =1 First exact match</t>
  </si>
  <si>
    <t>search_mode = -1 last exact match</t>
  </si>
  <si>
    <t>lookup_array= A2:G13</t>
  </si>
  <si>
    <t>lookup_array= C2:C13</t>
  </si>
  <si>
    <t>Expected Output: Claire Gute</t>
  </si>
  <si>
    <t>return_array = A2:A13</t>
  </si>
  <si>
    <t>Expected output: 14.1694</t>
  </si>
  <si>
    <t>Before removal</t>
  </si>
  <si>
    <t>search_mode=1</t>
  </si>
  <si>
    <t>search_mode=-1</t>
  </si>
  <si>
    <t>After removal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</si>
</sst>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22" fontId="0" fillId="0" borderId="0" xfId="0" applyNumberForma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1" fillId="0" borderId="6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1" xfId="0" applyBorder="1"/>
    <xf numFmtId="0" fontId="2" fillId="0" borderId="6" xfId="0" applyFont="1" applyBorder="1"/>
    <xf numFmtId="0" fontId="0" fillId="0" borderId="9" xfId="0" applyBorder="1"/>
    <xf numFmtId="0" fontId="1" fillId="0" borderId="10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1" fillId="0" borderId="0" xfId="0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0D60F-DDD6-4C7D-9FB8-6BE8DB107321}">
  <dimension ref="A1:U13"/>
  <sheetViews>
    <sheetView topLeftCell="I1" workbookViewId="0">
      <selection activeCell="W8" sqref="W8"/>
    </sheetView>
  </sheetViews>
  <sheetFormatPr defaultRowHeight="14.4" x14ac:dyDescent="0.3"/>
  <cols>
    <col min="1" max="1" width="6.88671875" bestFit="1" customWidth="1"/>
    <col min="2" max="2" width="14.6640625" bestFit="1" customWidth="1"/>
    <col min="3" max="4" width="15.44140625" bestFit="1" customWidth="1"/>
    <col min="5" max="5" width="12.77734375" bestFit="1" customWidth="1"/>
    <col min="6" max="6" width="11.109375" bestFit="1" customWidth="1"/>
    <col min="7" max="7" width="14.88671875" bestFit="1" customWidth="1"/>
    <col min="8" max="8" width="9.33203125" bestFit="1" customWidth="1"/>
    <col min="9" max="9" width="11.88671875" bestFit="1" customWidth="1"/>
    <col min="10" max="10" width="13.88671875" bestFit="1" customWidth="1"/>
    <col min="12" max="12" width="10.6640625" bestFit="1" customWidth="1"/>
    <col min="13" max="13" width="6.5546875" bestFit="1" customWidth="1"/>
    <col min="14" max="14" width="16.21875" bestFit="1" customWidth="1"/>
    <col min="15" max="15" width="13.109375" bestFit="1" customWidth="1"/>
    <col min="16" max="16" width="11.88671875" bestFit="1" customWidth="1"/>
    <col min="17" max="17" width="57.109375" bestFit="1" customWidth="1"/>
    <col min="18" max="18" width="9" bestFit="1" customWidth="1"/>
    <col min="19" max="19" width="8" bestFit="1" customWidth="1"/>
    <col min="20" max="20" width="8.109375" bestFit="1" customWidth="1"/>
    <col min="21" max="21" width="8.66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42958</v>
      </c>
      <c r="D2" s="1">
        <v>43050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42958</v>
      </c>
      <c r="D3" s="1">
        <v>43050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43075</v>
      </c>
      <c r="D4" s="1">
        <v>42902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48</v>
      </c>
      <c r="C5" s="1">
        <v>42684</v>
      </c>
      <c r="D5" s="1">
        <v>42661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48</v>
      </c>
      <c r="C6" s="1">
        <v>42684</v>
      </c>
      <c r="D6" s="1">
        <v>42661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60</v>
      </c>
      <c r="C7" s="1">
        <v>42253</v>
      </c>
      <c r="D7" s="1">
        <v>42169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60</v>
      </c>
      <c r="C8" s="1">
        <v>42253</v>
      </c>
      <c r="D8" s="1">
        <v>42169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60</v>
      </c>
      <c r="C9" s="1">
        <v>42253</v>
      </c>
      <c r="D9" s="1">
        <v>42169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60</v>
      </c>
      <c r="C10" s="1">
        <v>42253</v>
      </c>
      <c r="D10" s="1">
        <v>42169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 s="1">
        <v>42253</v>
      </c>
      <c r="D11" s="1">
        <v>42169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60</v>
      </c>
      <c r="C12" s="1">
        <v>42253</v>
      </c>
      <c r="D12" s="1">
        <v>42169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60</v>
      </c>
      <c r="C13" s="1">
        <v>42253</v>
      </c>
      <c r="D13" s="1">
        <v>42169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F3E3C-EA03-448F-9C51-04CCDBA75187}">
  <dimension ref="A1:I23"/>
  <sheetViews>
    <sheetView workbookViewId="0">
      <selection activeCell="C23" sqref="C23"/>
    </sheetView>
  </sheetViews>
  <sheetFormatPr defaultRowHeight="14.4" x14ac:dyDescent="0.3"/>
  <cols>
    <col min="1" max="1" width="14.88671875" bestFit="1" customWidth="1"/>
    <col min="2" max="2" width="18.88671875" bestFit="1" customWidth="1"/>
    <col min="3" max="3" width="74" bestFit="1" customWidth="1"/>
    <col min="4" max="4" width="9" bestFit="1" customWidth="1"/>
    <col min="5" max="5" width="8" bestFit="1" customWidth="1"/>
    <col min="6" max="6" width="8.109375" bestFit="1" customWidth="1"/>
    <col min="7" max="7" width="8.6640625" bestFit="1" customWidth="1"/>
    <col min="9" max="9" width="39.5546875" bestFit="1" customWidth="1"/>
  </cols>
  <sheetData>
    <row r="1" spans="1:7" x14ac:dyDescent="0.3">
      <c r="A1" t="s">
        <v>6</v>
      </c>
      <c r="B1" t="s">
        <v>13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</row>
    <row r="2" spans="1:7" x14ac:dyDescent="0.3">
      <c r="A2" t="s">
        <v>24</v>
      </c>
      <c r="B2" t="s">
        <v>30</v>
      </c>
      <c r="C2" t="s">
        <v>33</v>
      </c>
      <c r="D2">
        <v>261.95999999999998</v>
      </c>
      <c r="E2">
        <v>2</v>
      </c>
      <c r="F2">
        <v>0</v>
      </c>
      <c r="G2">
        <v>41.913600000000002</v>
      </c>
    </row>
    <row r="3" spans="1:7" x14ac:dyDescent="0.3">
      <c r="A3" t="s">
        <v>24</v>
      </c>
      <c r="B3" t="s">
        <v>34</v>
      </c>
      <c r="C3" t="s">
        <v>36</v>
      </c>
      <c r="D3">
        <v>731.94</v>
      </c>
      <c r="E3">
        <v>3</v>
      </c>
      <c r="F3">
        <v>0</v>
      </c>
      <c r="G3">
        <v>219.58199999999999</v>
      </c>
    </row>
    <row r="4" spans="1:7" x14ac:dyDescent="0.3">
      <c r="A4" t="s">
        <v>39</v>
      </c>
      <c r="B4" t="s">
        <v>44</v>
      </c>
      <c r="C4" t="s">
        <v>47</v>
      </c>
      <c r="D4">
        <v>14.62</v>
      </c>
      <c r="E4">
        <v>2</v>
      </c>
      <c r="F4">
        <v>0</v>
      </c>
      <c r="G4">
        <v>6.8714000000000004</v>
      </c>
    </row>
    <row r="5" spans="1:7" x14ac:dyDescent="0.3">
      <c r="A5" t="s">
        <v>51</v>
      </c>
      <c r="B5" t="s">
        <v>54</v>
      </c>
      <c r="C5" t="s">
        <v>56</v>
      </c>
      <c r="D5">
        <v>957.57749999999999</v>
      </c>
      <c r="E5">
        <v>5</v>
      </c>
      <c r="F5">
        <v>0.45</v>
      </c>
      <c r="G5">
        <v>-383.03100000000001</v>
      </c>
    </row>
    <row r="6" spans="1:7" x14ac:dyDescent="0.3">
      <c r="A6" t="s">
        <v>51</v>
      </c>
      <c r="B6" t="s">
        <v>57</v>
      </c>
      <c r="C6" t="s">
        <v>59</v>
      </c>
      <c r="D6">
        <v>22.367999999999999</v>
      </c>
      <c r="E6">
        <v>2</v>
      </c>
      <c r="F6">
        <v>0.2</v>
      </c>
      <c r="G6">
        <v>2.5164</v>
      </c>
    </row>
    <row r="7" spans="1:7" x14ac:dyDescent="0.3">
      <c r="A7" t="s">
        <v>62</v>
      </c>
      <c r="B7" t="s">
        <v>63</v>
      </c>
      <c r="C7" t="s">
        <v>65</v>
      </c>
      <c r="D7">
        <v>48.86</v>
      </c>
      <c r="E7">
        <v>7</v>
      </c>
      <c r="F7">
        <v>0</v>
      </c>
      <c r="G7">
        <v>14.1694</v>
      </c>
    </row>
    <row r="8" spans="1:7" x14ac:dyDescent="0.3">
      <c r="A8" t="s">
        <v>62</v>
      </c>
      <c r="B8" t="s">
        <v>66</v>
      </c>
      <c r="C8" t="s">
        <v>68</v>
      </c>
      <c r="D8">
        <v>7.28</v>
      </c>
      <c r="E8">
        <v>4</v>
      </c>
      <c r="F8">
        <v>0</v>
      </c>
      <c r="G8">
        <v>1.9656</v>
      </c>
    </row>
    <row r="9" spans="1:7" x14ac:dyDescent="0.3">
      <c r="A9" t="s">
        <v>62</v>
      </c>
      <c r="B9" t="s">
        <v>69</v>
      </c>
      <c r="C9" t="s">
        <v>72</v>
      </c>
      <c r="D9">
        <v>907.15200000000004</v>
      </c>
      <c r="E9">
        <v>6</v>
      </c>
      <c r="F9">
        <v>0.2</v>
      </c>
      <c r="G9">
        <v>90.715199999999996</v>
      </c>
    </row>
    <row r="10" spans="1:7" x14ac:dyDescent="0.3">
      <c r="A10" t="s">
        <v>62</v>
      </c>
      <c r="B10" t="s">
        <v>73</v>
      </c>
      <c r="C10" t="s">
        <v>75</v>
      </c>
      <c r="D10">
        <v>18.504000000000001</v>
      </c>
      <c r="E10">
        <v>3</v>
      </c>
      <c r="F10">
        <v>0.2</v>
      </c>
      <c r="G10">
        <v>5.7824999999999998</v>
      </c>
    </row>
    <row r="11" spans="1:7" x14ac:dyDescent="0.3">
      <c r="A11" t="s">
        <v>62</v>
      </c>
      <c r="B11" t="s">
        <v>76</v>
      </c>
      <c r="C11" t="s">
        <v>78</v>
      </c>
      <c r="D11">
        <v>114.9</v>
      </c>
      <c r="E11">
        <v>5</v>
      </c>
      <c r="F11">
        <v>0</v>
      </c>
      <c r="G11">
        <v>34.47</v>
      </c>
    </row>
    <row r="12" spans="1:7" x14ac:dyDescent="0.3">
      <c r="A12" t="s">
        <v>62</v>
      </c>
      <c r="B12" t="s">
        <v>79</v>
      </c>
      <c r="C12" t="s">
        <v>80</v>
      </c>
      <c r="D12">
        <v>1706.184</v>
      </c>
      <c r="E12">
        <v>9</v>
      </c>
      <c r="F12">
        <v>0.2</v>
      </c>
      <c r="G12">
        <v>85.309200000000004</v>
      </c>
    </row>
    <row r="13" spans="1:7" x14ac:dyDescent="0.3">
      <c r="A13" t="s">
        <v>62</v>
      </c>
      <c r="B13" t="s">
        <v>81</v>
      </c>
      <c r="C13" t="s">
        <v>82</v>
      </c>
      <c r="D13">
        <v>911.42399999999998</v>
      </c>
      <c r="E13">
        <v>4</v>
      </c>
      <c r="F13">
        <v>0.2</v>
      </c>
      <c r="G13">
        <v>68.356800000000007</v>
      </c>
    </row>
    <row r="17" spans="2:9" ht="15" thickBot="1" x14ac:dyDescent="0.35">
      <c r="B17" t="s">
        <v>6</v>
      </c>
      <c r="C17" t="s">
        <v>16</v>
      </c>
    </row>
    <row r="18" spans="2:9" s="2" customFormat="1" ht="18.600000000000001" thickBot="1" x14ac:dyDescent="0.4">
      <c r="B18" s="8" t="s">
        <v>62</v>
      </c>
      <c r="C18" s="7" t="str">
        <f>_xlfn.XLOOKUP(B18,A2:A13,C2:C13,"",0)</f>
        <v>Eldon Expressions Wood and Plastic Desk Accessories, Cherry Wood</v>
      </c>
      <c r="I18" s="4" t="s">
        <v>83</v>
      </c>
    </row>
    <row r="19" spans="2:9" x14ac:dyDescent="0.3">
      <c r="I19" s="5" t="s">
        <v>88</v>
      </c>
    </row>
    <row r="20" spans="2:9" x14ac:dyDescent="0.3">
      <c r="I20" s="5" t="s">
        <v>89</v>
      </c>
    </row>
    <row r="21" spans="2:9" x14ac:dyDescent="0.3">
      <c r="I21" s="5" t="s">
        <v>90</v>
      </c>
    </row>
    <row r="22" spans="2:9" x14ac:dyDescent="0.3">
      <c r="I22" s="5" t="s">
        <v>84</v>
      </c>
    </row>
    <row r="23" spans="2:9" ht="15" thickBot="1" x14ac:dyDescent="0.35">
      <c r="C23" s="11" t="s">
        <v>87</v>
      </c>
      <c r="I23" s="6" t="s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A2476-C5DC-4228-AA0D-D396EA1EE4AA}">
  <dimension ref="A1:I22"/>
  <sheetViews>
    <sheetView workbookViewId="0">
      <selection activeCell="C20" sqref="C20"/>
    </sheetView>
  </sheetViews>
  <sheetFormatPr defaultRowHeight="14.4" x14ac:dyDescent="0.3"/>
  <cols>
    <col min="1" max="1" width="14.88671875" bestFit="1" customWidth="1"/>
    <col min="2" max="2" width="16.21875" bestFit="1" customWidth="1"/>
    <col min="3" max="3" width="57.109375" bestFit="1" customWidth="1"/>
    <col min="4" max="4" width="9" bestFit="1" customWidth="1"/>
    <col min="5" max="5" width="8" bestFit="1" customWidth="1"/>
    <col min="6" max="6" width="8.109375" bestFit="1" customWidth="1"/>
    <col min="7" max="7" width="8.6640625" bestFit="1" customWidth="1"/>
    <col min="9" max="9" width="24.109375" bestFit="1" customWidth="1"/>
  </cols>
  <sheetData>
    <row r="1" spans="1:7" x14ac:dyDescent="0.3">
      <c r="A1" t="s">
        <v>6</v>
      </c>
      <c r="B1" t="s">
        <v>13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</row>
    <row r="2" spans="1:7" x14ac:dyDescent="0.3">
      <c r="A2" t="s">
        <v>24</v>
      </c>
      <c r="B2" t="s">
        <v>30</v>
      </c>
      <c r="C2" t="s">
        <v>33</v>
      </c>
      <c r="D2">
        <v>261.95999999999998</v>
      </c>
      <c r="E2">
        <v>2</v>
      </c>
      <c r="F2">
        <v>0</v>
      </c>
      <c r="G2">
        <v>41.913600000000002</v>
      </c>
    </row>
    <row r="3" spans="1:7" x14ac:dyDescent="0.3">
      <c r="A3" t="s">
        <v>24</v>
      </c>
      <c r="B3" t="s">
        <v>34</v>
      </c>
      <c r="C3" t="s">
        <v>36</v>
      </c>
      <c r="D3">
        <v>731.94</v>
      </c>
      <c r="E3">
        <v>3</v>
      </c>
      <c r="F3">
        <v>0</v>
      </c>
      <c r="G3">
        <v>219.58199999999999</v>
      </c>
    </row>
    <row r="4" spans="1:7" x14ac:dyDescent="0.3">
      <c r="A4" t="s">
        <v>39</v>
      </c>
      <c r="B4" t="s">
        <v>44</v>
      </c>
      <c r="C4" t="s">
        <v>47</v>
      </c>
      <c r="D4">
        <v>14.62</v>
      </c>
      <c r="E4">
        <v>2</v>
      </c>
      <c r="F4">
        <v>0</v>
      </c>
      <c r="G4">
        <v>6.8714000000000004</v>
      </c>
    </row>
    <row r="5" spans="1:7" x14ac:dyDescent="0.3">
      <c r="A5" t="s">
        <v>51</v>
      </c>
      <c r="B5" t="s">
        <v>54</v>
      </c>
      <c r="C5" t="s">
        <v>56</v>
      </c>
      <c r="D5">
        <v>957.57749999999999</v>
      </c>
      <c r="E5">
        <v>5</v>
      </c>
      <c r="F5">
        <v>0.45</v>
      </c>
      <c r="G5">
        <v>-383.03100000000001</v>
      </c>
    </row>
    <row r="6" spans="1:7" x14ac:dyDescent="0.3">
      <c r="A6" t="s">
        <v>51</v>
      </c>
      <c r="B6" t="s">
        <v>57</v>
      </c>
      <c r="C6" t="s">
        <v>59</v>
      </c>
      <c r="D6">
        <v>22.367999999999999</v>
      </c>
      <c r="E6">
        <v>2</v>
      </c>
      <c r="F6">
        <v>0.2</v>
      </c>
      <c r="G6">
        <v>2.5164</v>
      </c>
    </row>
    <row r="7" spans="1:7" x14ac:dyDescent="0.3">
      <c r="A7" t="s">
        <v>62</v>
      </c>
      <c r="B7" t="s">
        <v>63</v>
      </c>
      <c r="C7" t="s">
        <v>65</v>
      </c>
      <c r="D7">
        <v>48.86</v>
      </c>
      <c r="E7">
        <v>7</v>
      </c>
      <c r="F7">
        <v>0</v>
      </c>
      <c r="G7">
        <v>14.1694</v>
      </c>
    </row>
    <row r="8" spans="1:7" x14ac:dyDescent="0.3">
      <c r="A8" t="s">
        <v>62</v>
      </c>
      <c r="B8" t="s">
        <v>66</v>
      </c>
      <c r="C8" t="s">
        <v>68</v>
      </c>
      <c r="D8">
        <v>7.28</v>
      </c>
      <c r="E8">
        <v>4</v>
      </c>
      <c r="F8">
        <v>0</v>
      </c>
      <c r="G8">
        <v>1.9656</v>
      </c>
    </row>
    <row r="9" spans="1:7" x14ac:dyDescent="0.3">
      <c r="A9" t="s">
        <v>62</v>
      </c>
      <c r="B9" t="s">
        <v>69</v>
      </c>
      <c r="C9" t="s">
        <v>72</v>
      </c>
      <c r="D9">
        <v>907.15200000000004</v>
      </c>
      <c r="E9">
        <v>6</v>
      </c>
      <c r="F9">
        <v>0.2</v>
      </c>
      <c r="G9">
        <v>90.715199999999996</v>
      </c>
    </row>
    <row r="10" spans="1:7" x14ac:dyDescent="0.3">
      <c r="A10" t="s">
        <v>62</v>
      </c>
      <c r="B10" t="s">
        <v>73</v>
      </c>
      <c r="C10" t="s">
        <v>75</v>
      </c>
      <c r="D10">
        <v>18.504000000000001</v>
      </c>
      <c r="E10">
        <v>3</v>
      </c>
      <c r="F10">
        <v>0.2</v>
      </c>
      <c r="G10">
        <v>5.7824999999999998</v>
      </c>
    </row>
    <row r="11" spans="1:7" x14ac:dyDescent="0.3">
      <c r="A11" t="s">
        <v>62</v>
      </c>
      <c r="B11" t="s">
        <v>76</v>
      </c>
      <c r="C11" t="s">
        <v>78</v>
      </c>
      <c r="D11">
        <v>114.9</v>
      </c>
      <c r="E11">
        <v>5</v>
      </c>
      <c r="F11">
        <v>0</v>
      </c>
      <c r="G11">
        <v>34.47</v>
      </c>
    </row>
    <row r="12" spans="1:7" x14ac:dyDescent="0.3">
      <c r="A12" t="s">
        <v>62</v>
      </c>
      <c r="B12" t="s">
        <v>79</v>
      </c>
      <c r="C12" t="s">
        <v>80</v>
      </c>
      <c r="D12">
        <v>1706.184</v>
      </c>
      <c r="E12">
        <v>9</v>
      </c>
      <c r="F12">
        <v>0.2</v>
      </c>
      <c r="G12">
        <v>85.309200000000004</v>
      </c>
    </row>
    <row r="13" spans="1:7" x14ac:dyDescent="0.3">
      <c r="A13" t="s">
        <v>62</v>
      </c>
      <c r="B13" t="s">
        <v>81</v>
      </c>
      <c r="C13" t="s">
        <v>82</v>
      </c>
      <c r="D13">
        <v>911.42399999999998</v>
      </c>
      <c r="E13">
        <v>4</v>
      </c>
      <c r="F13">
        <v>0.2</v>
      </c>
      <c r="G13">
        <v>68.356800000000007</v>
      </c>
    </row>
    <row r="16" spans="1:7" ht="15" thickBot="1" x14ac:dyDescent="0.35">
      <c r="B16" t="s">
        <v>6</v>
      </c>
      <c r="C16" t="s">
        <v>16</v>
      </c>
    </row>
    <row r="17" spans="2:9" s="2" customFormat="1" ht="18.600000000000001" thickBot="1" x14ac:dyDescent="0.4">
      <c r="B17" s="8" t="s">
        <v>92</v>
      </c>
      <c r="C17" s="7" t="str">
        <f>_xlfn.XLOOKUP(B17,A2:A13,C2:C13,"not found",0)</f>
        <v>not found</v>
      </c>
      <c r="I17" s="4" t="s">
        <v>94</v>
      </c>
    </row>
    <row r="18" spans="2:9" x14ac:dyDescent="0.3">
      <c r="I18" s="5" t="s">
        <v>104</v>
      </c>
    </row>
    <row r="19" spans="2:9" x14ac:dyDescent="0.3">
      <c r="I19" s="5" t="s">
        <v>89</v>
      </c>
    </row>
    <row r="20" spans="2:9" x14ac:dyDescent="0.3">
      <c r="C20" s="11" t="s">
        <v>93</v>
      </c>
      <c r="I20" s="5" t="s">
        <v>95</v>
      </c>
    </row>
    <row r="21" spans="2:9" x14ac:dyDescent="0.3">
      <c r="I21" s="5" t="s">
        <v>84</v>
      </c>
    </row>
    <row r="22" spans="2:9" ht="15" thickBot="1" x14ac:dyDescent="0.35">
      <c r="I22" s="6" t="s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13915-FF0A-4136-9AEE-4E66D0349F06}">
  <dimension ref="A1:I22"/>
  <sheetViews>
    <sheetView tabSelected="1" workbookViewId="0">
      <selection activeCell="D17" sqref="D17"/>
    </sheetView>
  </sheetViews>
  <sheetFormatPr defaultRowHeight="14.4" x14ac:dyDescent="0.3"/>
  <cols>
    <col min="1" max="1" width="14.88671875" bestFit="1" customWidth="1"/>
    <col min="2" max="2" width="16.21875" bestFit="1" customWidth="1"/>
    <col min="3" max="3" width="68.33203125" bestFit="1" customWidth="1"/>
    <col min="4" max="4" width="14.33203125" bestFit="1" customWidth="1"/>
    <col min="5" max="5" width="8" bestFit="1" customWidth="1"/>
    <col min="6" max="6" width="8.109375" bestFit="1" customWidth="1"/>
    <col min="7" max="7" width="8.6640625" bestFit="1" customWidth="1"/>
    <col min="9" max="9" width="66.6640625" bestFit="1" customWidth="1"/>
  </cols>
  <sheetData>
    <row r="1" spans="1:7" x14ac:dyDescent="0.3">
      <c r="A1" t="s">
        <v>6</v>
      </c>
      <c r="B1" t="s">
        <v>13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</row>
    <row r="2" spans="1:7" x14ac:dyDescent="0.3">
      <c r="A2" t="s">
        <v>24</v>
      </c>
      <c r="B2" t="s">
        <v>30</v>
      </c>
      <c r="C2" t="s">
        <v>33</v>
      </c>
      <c r="D2">
        <v>261.95999999999998</v>
      </c>
      <c r="E2">
        <v>2</v>
      </c>
      <c r="F2">
        <v>0</v>
      </c>
      <c r="G2">
        <v>41.913600000000002</v>
      </c>
    </row>
    <row r="3" spans="1:7" x14ac:dyDescent="0.3">
      <c r="A3" t="s">
        <v>24</v>
      </c>
      <c r="B3" t="s">
        <v>34</v>
      </c>
      <c r="C3" t="s">
        <v>36</v>
      </c>
      <c r="D3">
        <v>731.94</v>
      </c>
      <c r="E3">
        <v>3</v>
      </c>
      <c r="F3">
        <v>0</v>
      </c>
      <c r="G3">
        <v>219.58199999999999</v>
      </c>
    </row>
    <row r="4" spans="1:7" x14ac:dyDescent="0.3">
      <c r="A4" t="s">
        <v>39</v>
      </c>
      <c r="B4" t="s">
        <v>44</v>
      </c>
      <c r="C4" t="s">
        <v>47</v>
      </c>
      <c r="D4">
        <v>14.62</v>
      </c>
      <c r="E4">
        <v>2</v>
      </c>
      <c r="F4">
        <v>0</v>
      </c>
      <c r="G4">
        <v>6.8714000000000004</v>
      </c>
    </row>
    <row r="5" spans="1:7" x14ac:dyDescent="0.3">
      <c r="A5" t="s">
        <v>51</v>
      </c>
      <c r="B5" t="s">
        <v>54</v>
      </c>
      <c r="C5" t="s">
        <v>56</v>
      </c>
      <c r="D5">
        <v>957.57749999999999</v>
      </c>
      <c r="E5">
        <v>5</v>
      </c>
      <c r="F5">
        <v>0.45</v>
      </c>
      <c r="G5">
        <v>-383.03100000000001</v>
      </c>
    </row>
    <row r="6" spans="1:7" x14ac:dyDescent="0.3">
      <c r="A6" t="s">
        <v>51</v>
      </c>
      <c r="B6" t="s">
        <v>57</v>
      </c>
      <c r="C6" t="s">
        <v>59</v>
      </c>
      <c r="D6">
        <v>22.367999999999999</v>
      </c>
      <c r="E6">
        <v>2</v>
      </c>
      <c r="F6">
        <v>0.2</v>
      </c>
      <c r="G6">
        <v>2.5164</v>
      </c>
    </row>
    <row r="7" spans="1:7" x14ac:dyDescent="0.3">
      <c r="A7" t="s">
        <v>62</v>
      </c>
      <c r="B7" t="s">
        <v>63</v>
      </c>
      <c r="C7" t="s">
        <v>65</v>
      </c>
      <c r="D7">
        <v>48.86</v>
      </c>
      <c r="E7">
        <v>7</v>
      </c>
      <c r="F7">
        <v>0</v>
      </c>
      <c r="G7">
        <v>14.1694</v>
      </c>
    </row>
    <row r="8" spans="1:7" x14ac:dyDescent="0.3">
      <c r="A8" t="s">
        <v>62</v>
      </c>
      <c r="B8" t="s">
        <v>66</v>
      </c>
      <c r="C8" t="s">
        <v>68</v>
      </c>
      <c r="D8">
        <v>7.28</v>
      </c>
      <c r="E8">
        <v>4</v>
      </c>
      <c r="F8">
        <v>0</v>
      </c>
      <c r="G8">
        <v>1.9656</v>
      </c>
    </row>
    <row r="9" spans="1:7" x14ac:dyDescent="0.3">
      <c r="A9" t="s">
        <v>62</v>
      </c>
      <c r="B9" t="s">
        <v>69</v>
      </c>
      <c r="C9" t="s">
        <v>72</v>
      </c>
      <c r="D9">
        <v>907.15200000000004</v>
      </c>
      <c r="E9">
        <v>6</v>
      </c>
      <c r="F9">
        <v>0.2</v>
      </c>
      <c r="G9">
        <v>90.715199999999996</v>
      </c>
    </row>
    <row r="10" spans="1:7" x14ac:dyDescent="0.3">
      <c r="A10" t="s">
        <v>62</v>
      </c>
      <c r="B10" t="s">
        <v>73</v>
      </c>
      <c r="C10" t="s">
        <v>75</v>
      </c>
      <c r="D10">
        <v>18.504000000000001</v>
      </c>
      <c r="E10">
        <v>3</v>
      </c>
      <c r="F10">
        <v>0.2</v>
      </c>
      <c r="G10">
        <v>5.7824999999999998</v>
      </c>
    </row>
    <row r="11" spans="1:7" x14ac:dyDescent="0.3">
      <c r="A11" t="s">
        <v>62</v>
      </c>
      <c r="B11" t="s">
        <v>76</v>
      </c>
      <c r="C11" t="s">
        <v>78</v>
      </c>
      <c r="D11">
        <v>114.9</v>
      </c>
      <c r="E11">
        <v>5</v>
      </c>
      <c r="F11">
        <v>0</v>
      </c>
      <c r="G11">
        <v>34.47</v>
      </c>
    </row>
    <row r="12" spans="1:7" x14ac:dyDescent="0.3">
      <c r="A12" t="s">
        <v>62</v>
      </c>
      <c r="B12" t="s">
        <v>79</v>
      </c>
      <c r="C12" t="s">
        <v>80</v>
      </c>
      <c r="D12">
        <v>1706.184</v>
      </c>
      <c r="E12">
        <v>9</v>
      </c>
      <c r="F12">
        <v>0.2</v>
      </c>
      <c r="G12">
        <v>85.309200000000004</v>
      </c>
    </row>
    <row r="13" spans="1:7" x14ac:dyDescent="0.3">
      <c r="A13" t="s">
        <v>62</v>
      </c>
      <c r="B13" t="s">
        <v>81</v>
      </c>
      <c r="C13" t="s">
        <v>82</v>
      </c>
      <c r="D13">
        <v>911.42399999999998</v>
      </c>
      <c r="E13">
        <v>4</v>
      </c>
      <c r="F13">
        <v>0.2</v>
      </c>
      <c r="G13">
        <v>68.356800000000007</v>
      </c>
    </row>
    <row r="16" spans="1:7" ht="15" thickBot="1" x14ac:dyDescent="0.35">
      <c r="C16" t="s">
        <v>16</v>
      </c>
      <c r="D16" t="s">
        <v>6</v>
      </c>
    </row>
    <row r="17" spans="3:9" s="2" customFormat="1" ht="18.600000000000001" thickBot="1" x14ac:dyDescent="0.4">
      <c r="C17" s="8" t="s">
        <v>36</v>
      </c>
      <c r="D17" s="12" t="str">
        <f>_xlfn.XLOOKUP(C17,C2:C13,A2:A13,"",0)</f>
        <v>Claire Gute</v>
      </c>
      <c r="I17" s="4" t="s">
        <v>86</v>
      </c>
    </row>
    <row r="18" spans="3:9" x14ac:dyDescent="0.3">
      <c r="I18" s="5" t="s">
        <v>105</v>
      </c>
    </row>
    <row r="19" spans="3:9" ht="18" x14ac:dyDescent="0.35">
      <c r="D19" s="2"/>
      <c r="I19" s="5" t="s">
        <v>107</v>
      </c>
    </row>
    <row r="20" spans="3:9" s="2" customFormat="1" ht="18" x14ac:dyDescent="0.35">
      <c r="C20" s="11" t="s">
        <v>106</v>
      </c>
      <c r="I20" s="5" t="s">
        <v>95</v>
      </c>
    </row>
    <row r="21" spans="3:9" s="2" customFormat="1" ht="18" x14ac:dyDescent="0.35">
      <c r="D21"/>
      <c r="I21" s="5" t="s">
        <v>84</v>
      </c>
    </row>
    <row r="22" spans="3:9" ht="15" thickBot="1" x14ac:dyDescent="0.35">
      <c r="I22" s="6" t="s">
        <v>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2A903-6C49-43C5-B2ED-508F9CE1DE8E}">
  <dimension ref="A1:I22"/>
  <sheetViews>
    <sheetView workbookViewId="0">
      <selection activeCell="E23" sqref="E23"/>
    </sheetView>
  </sheetViews>
  <sheetFormatPr defaultRowHeight="14.4" x14ac:dyDescent="0.3"/>
  <cols>
    <col min="1" max="1" width="14.88671875" bestFit="1" customWidth="1"/>
    <col min="2" max="2" width="17.6640625" bestFit="1" customWidth="1"/>
    <col min="3" max="3" width="63.6640625" bestFit="1" customWidth="1"/>
    <col min="4" max="4" width="9" bestFit="1" customWidth="1"/>
    <col min="5" max="5" width="8" bestFit="1" customWidth="1"/>
    <col min="6" max="6" width="8.109375" bestFit="1" customWidth="1"/>
    <col min="7" max="7" width="8.6640625" bestFit="1" customWidth="1"/>
    <col min="9" max="9" width="39.5546875" bestFit="1" customWidth="1"/>
  </cols>
  <sheetData>
    <row r="1" spans="1:7" x14ac:dyDescent="0.3">
      <c r="A1" t="s">
        <v>6</v>
      </c>
      <c r="B1" t="s">
        <v>13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</row>
    <row r="2" spans="1:7" x14ac:dyDescent="0.3">
      <c r="A2" t="s">
        <v>24</v>
      </c>
      <c r="B2" t="s">
        <v>30</v>
      </c>
      <c r="C2" t="s">
        <v>33</v>
      </c>
      <c r="D2">
        <v>261.95999999999998</v>
      </c>
      <c r="E2">
        <v>2</v>
      </c>
      <c r="F2">
        <v>0</v>
      </c>
      <c r="G2">
        <v>41.913600000000002</v>
      </c>
    </row>
    <row r="3" spans="1:7" x14ac:dyDescent="0.3">
      <c r="A3" t="s">
        <v>24</v>
      </c>
      <c r="B3" t="s">
        <v>34</v>
      </c>
      <c r="C3" t="s">
        <v>36</v>
      </c>
      <c r="D3">
        <v>731.94</v>
      </c>
      <c r="E3">
        <v>3</v>
      </c>
      <c r="F3">
        <v>0</v>
      </c>
      <c r="G3">
        <v>219.58199999999999</v>
      </c>
    </row>
    <row r="4" spans="1:7" x14ac:dyDescent="0.3">
      <c r="A4" t="s">
        <v>39</v>
      </c>
      <c r="B4" t="s">
        <v>44</v>
      </c>
      <c r="C4" t="s">
        <v>47</v>
      </c>
      <c r="D4">
        <v>14.62</v>
      </c>
      <c r="E4">
        <v>2</v>
      </c>
      <c r="F4">
        <v>0</v>
      </c>
      <c r="G4">
        <v>6.8714000000000004</v>
      </c>
    </row>
    <row r="5" spans="1:7" x14ac:dyDescent="0.3">
      <c r="A5" t="s">
        <v>51</v>
      </c>
      <c r="B5" t="s">
        <v>54</v>
      </c>
      <c r="C5" t="s">
        <v>56</v>
      </c>
      <c r="D5">
        <v>957.57749999999999</v>
      </c>
      <c r="E5">
        <v>5</v>
      </c>
      <c r="F5">
        <v>0.45</v>
      </c>
      <c r="G5">
        <v>-383.03100000000001</v>
      </c>
    </row>
    <row r="6" spans="1:7" x14ac:dyDescent="0.3">
      <c r="A6" t="s">
        <v>51</v>
      </c>
      <c r="B6" t="s">
        <v>57</v>
      </c>
      <c r="C6" t="s">
        <v>59</v>
      </c>
      <c r="D6">
        <v>22.367999999999999</v>
      </c>
      <c r="E6">
        <v>2</v>
      </c>
      <c r="F6">
        <v>0.2</v>
      </c>
      <c r="G6">
        <v>2.5164</v>
      </c>
    </row>
    <row r="7" spans="1:7" x14ac:dyDescent="0.3">
      <c r="A7" t="s">
        <v>62</v>
      </c>
      <c r="B7" t="s">
        <v>63</v>
      </c>
      <c r="C7" t="s">
        <v>65</v>
      </c>
      <c r="D7">
        <v>48.86</v>
      </c>
      <c r="E7">
        <v>7</v>
      </c>
      <c r="F7">
        <v>0</v>
      </c>
      <c r="G7">
        <v>14.1694</v>
      </c>
    </row>
    <row r="8" spans="1:7" x14ac:dyDescent="0.3">
      <c r="A8" t="s">
        <v>62</v>
      </c>
      <c r="B8" t="s">
        <v>66</v>
      </c>
      <c r="C8" t="s">
        <v>68</v>
      </c>
      <c r="D8">
        <v>7.28</v>
      </c>
      <c r="E8">
        <v>4</v>
      </c>
      <c r="F8">
        <v>0</v>
      </c>
      <c r="G8">
        <v>1.9656</v>
      </c>
    </row>
    <row r="9" spans="1:7" x14ac:dyDescent="0.3">
      <c r="A9" t="s">
        <v>62</v>
      </c>
      <c r="B9" t="s">
        <v>69</v>
      </c>
      <c r="C9" t="s">
        <v>72</v>
      </c>
      <c r="D9">
        <v>907.15200000000004</v>
      </c>
      <c r="E9">
        <v>6</v>
      </c>
      <c r="F9">
        <v>0.2</v>
      </c>
      <c r="G9">
        <v>90.715199999999996</v>
      </c>
    </row>
    <row r="10" spans="1:7" x14ac:dyDescent="0.3">
      <c r="A10" t="s">
        <v>62</v>
      </c>
      <c r="B10" t="s">
        <v>73</v>
      </c>
      <c r="C10" t="s">
        <v>75</v>
      </c>
      <c r="D10">
        <v>18.504000000000001</v>
      </c>
      <c r="E10">
        <v>3</v>
      </c>
      <c r="F10">
        <v>0.2</v>
      </c>
      <c r="G10">
        <v>5.7824999999999998</v>
      </c>
    </row>
    <row r="11" spans="1:7" x14ac:dyDescent="0.3">
      <c r="A11" t="s">
        <v>62</v>
      </c>
      <c r="B11" t="s">
        <v>76</v>
      </c>
      <c r="C11" t="s">
        <v>78</v>
      </c>
      <c r="D11">
        <v>114.9</v>
      </c>
      <c r="E11">
        <v>5</v>
      </c>
      <c r="F11">
        <v>0</v>
      </c>
      <c r="G11">
        <v>34.47</v>
      </c>
    </row>
    <row r="12" spans="1:7" x14ac:dyDescent="0.3">
      <c r="A12" t="s">
        <v>62</v>
      </c>
      <c r="B12" t="s">
        <v>79</v>
      </c>
      <c r="C12" t="s">
        <v>80</v>
      </c>
      <c r="D12">
        <v>1706.184</v>
      </c>
      <c r="E12">
        <v>9</v>
      </c>
      <c r="F12">
        <v>0.2</v>
      </c>
      <c r="G12">
        <v>85.309200000000004</v>
      </c>
    </row>
    <row r="13" spans="1:7" x14ac:dyDescent="0.3">
      <c r="A13" t="s">
        <v>62</v>
      </c>
      <c r="B13" t="s">
        <v>81</v>
      </c>
      <c r="C13" t="s">
        <v>82</v>
      </c>
      <c r="D13">
        <v>911.42399999999998</v>
      </c>
      <c r="E13">
        <v>4</v>
      </c>
      <c r="F13">
        <v>0.2</v>
      </c>
      <c r="G13">
        <v>68.356800000000007</v>
      </c>
    </row>
    <row r="16" spans="1:7" ht="15" thickBot="1" x14ac:dyDescent="0.35">
      <c r="B16" t="s">
        <v>6</v>
      </c>
      <c r="C16" t="s">
        <v>16</v>
      </c>
      <c r="D16" t="s">
        <v>17</v>
      </c>
    </row>
    <row r="17" spans="2:9" s="2" customFormat="1" ht="18.600000000000001" thickBot="1" x14ac:dyDescent="0.4">
      <c r="B17" s="8" t="s">
        <v>39</v>
      </c>
      <c r="C17" s="9" t="str" cm="1">
        <f t="array" ref="C17:D17">_xlfn.XLOOKUP(B17,A2:A13,C2:D13,"",0)</f>
        <v>Self-Adhesive Address Labels for Typewriters by Universal</v>
      </c>
      <c r="D17" s="3">
        <v>14.62</v>
      </c>
      <c r="I17" s="4" t="s">
        <v>97</v>
      </c>
    </row>
    <row r="18" spans="2:9" x14ac:dyDescent="0.3">
      <c r="I18" s="5" t="s">
        <v>104</v>
      </c>
    </row>
    <row r="19" spans="2:9" x14ac:dyDescent="0.3">
      <c r="I19" s="5" t="s">
        <v>100</v>
      </c>
    </row>
    <row r="20" spans="2:9" s="2" customFormat="1" ht="18" x14ac:dyDescent="0.35">
      <c r="C20" s="13" t="s">
        <v>98</v>
      </c>
      <c r="D20" s="14"/>
      <c r="I20" s="5" t="s">
        <v>99</v>
      </c>
    </row>
    <row r="21" spans="2:9" s="2" customFormat="1" ht="18" x14ac:dyDescent="0.35">
      <c r="C21" s="15" t="s">
        <v>47</v>
      </c>
      <c r="D21" s="16">
        <v>14.62</v>
      </c>
      <c r="I21" s="5" t="s">
        <v>84</v>
      </c>
    </row>
    <row r="22" spans="2:9" ht="15" thickBot="1" x14ac:dyDescent="0.35">
      <c r="I22" s="6" t="s">
        <v>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A3E67-4A2D-48D5-B174-BB9C1AF4FF4C}">
  <dimension ref="A1:I26"/>
  <sheetViews>
    <sheetView workbookViewId="0">
      <selection activeCell="C7" sqref="C7"/>
    </sheetView>
  </sheetViews>
  <sheetFormatPr defaultRowHeight="14.4" x14ac:dyDescent="0.3"/>
  <cols>
    <col min="1" max="1" width="16.6640625" bestFit="1" customWidth="1"/>
    <col min="2" max="2" width="18.88671875" bestFit="1" customWidth="1"/>
    <col min="3" max="3" width="74" bestFit="1" customWidth="1"/>
    <col min="4" max="4" width="8" bestFit="1" customWidth="1"/>
    <col min="5" max="5" width="8.109375" bestFit="1" customWidth="1"/>
    <col min="6" max="6" width="8.6640625" bestFit="1" customWidth="1"/>
    <col min="9" max="9" width="40.21875" bestFit="1" customWidth="1"/>
  </cols>
  <sheetData>
    <row r="1" spans="1:7" x14ac:dyDescent="0.3">
      <c r="A1" t="s">
        <v>6</v>
      </c>
      <c r="B1" t="s">
        <v>13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</row>
    <row r="2" spans="1:7" x14ac:dyDescent="0.3">
      <c r="A2" t="s">
        <v>24</v>
      </c>
      <c r="B2" t="s">
        <v>30</v>
      </c>
      <c r="C2" t="s">
        <v>33</v>
      </c>
      <c r="D2">
        <v>261.95999999999998</v>
      </c>
      <c r="E2">
        <v>2</v>
      </c>
      <c r="F2">
        <v>0</v>
      </c>
      <c r="G2">
        <v>41.913600000000002</v>
      </c>
    </row>
    <row r="3" spans="1:7" x14ac:dyDescent="0.3">
      <c r="A3" t="s">
        <v>24</v>
      </c>
      <c r="B3" t="s">
        <v>34</v>
      </c>
      <c r="C3" t="s">
        <v>36</v>
      </c>
      <c r="D3">
        <v>731.94</v>
      </c>
      <c r="E3">
        <v>3</v>
      </c>
      <c r="F3">
        <v>0</v>
      </c>
      <c r="G3">
        <v>219.58199999999999</v>
      </c>
    </row>
    <row r="4" spans="1:7" x14ac:dyDescent="0.3">
      <c r="A4" t="s">
        <v>39</v>
      </c>
      <c r="B4" t="s">
        <v>44</v>
      </c>
      <c r="C4" t="s">
        <v>47</v>
      </c>
      <c r="D4">
        <v>14.62</v>
      </c>
      <c r="E4">
        <v>2</v>
      </c>
      <c r="F4">
        <v>0</v>
      </c>
      <c r="G4">
        <v>6.8714000000000004</v>
      </c>
    </row>
    <row r="5" spans="1:7" x14ac:dyDescent="0.3">
      <c r="A5" t="s">
        <v>51</v>
      </c>
      <c r="B5" t="s">
        <v>54</v>
      </c>
      <c r="C5" t="s">
        <v>56</v>
      </c>
      <c r="D5">
        <v>957.57749999999999</v>
      </c>
      <c r="E5">
        <v>5</v>
      </c>
      <c r="F5">
        <v>0.45</v>
      </c>
      <c r="G5">
        <v>-383.03100000000001</v>
      </c>
    </row>
    <row r="6" spans="1:7" x14ac:dyDescent="0.3">
      <c r="A6" t="s">
        <v>51</v>
      </c>
      <c r="B6" t="s">
        <v>57</v>
      </c>
      <c r="C6" t="s">
        <v>59</v>
      </c>
      <c r="D6">
        <v>22.367999999999999</v>
      </c>
      <c r="E6">
        <v>2</v>
      </c>
      <c r="F6">
        <v>0.2</v>
      </c>
      <c r="G6">
        <v>2.5164</v>
      </c>
    </row>
    <row r="7" spans="1:7" x14ac:dyDescent="0.3">
      <c r="A7" t="s">
        <v>62</v>
      </c>
      <c r="B7" t="s">
        <v>63</v>
      </c>
      <c r="C7" t="s">
        <v>65</v>
      </c>
      <c r="D7">
        <v>48.86</v>
      </c>
      <c r="E7">
        <v>7</v>
      </c>
      <c r="F7">
        <v>0</v>
      </c>
      <c r="G7">
        <v>14.1694</v>
      </c>
    </row>
    <row r="8" spans="1:7" x14ac:dyDescent="0.3">
      <c r="A8" t="s">
        <v>62</v>
      </c>
      <c r="B8" t="s">
        <v>66</v>
      </c>
      <c r="C8" t="s">
        <v>68</v>
      </c>
      <c r="D8">
        <v>7.28</v>
      </c>
      <c r="E8">
        <v>4</v>
      </c>
      <c r="F8">
        <v>0</v>
      </c>
      <c r="G8">
        <v>1.9656</v>
      </c>
    </row>
    <row r="9" spans="1:7" x14ac:dyDescent="0.3">
      <c r="A9" t="s">
        <v>62</v>
      </c>
      <c r="B9" t="s">
        <v>69</v>
      </c>
      <c r="C9" t="s">
        <v>72</v>
      </c>
      <c r="D9">
        <v>907.15200000000004</v>
      </c>
      <c r="E9">
        <v>6</v>
      </c>
      <c r="F9">
        <v>0.2</v>
      </c>
      <c r="G9">
        <v>90.715199999999996</v>
      </c>
    </row>
    <row r="10" spans="1:7" x14ac:dyDescent="0.3">
      <c r="A10" t="s">
        <v>62</v>
      </c>
      <c r="B10" t="s">
        <v>73</v>
      </c>
      <c r="C10" t="s">
        <v>75</v>
      </c>
      <c r="D10">
        <v>18.504000000000001</v>
      </c>
      <c r="E10">
        <v>3</v>
      </c>
      <c r="F10">
        <v>0.2</v>
      </c>
      <c r="G10">
        <v>5.7824999999999998</v>
      </c>
    </row>
    <row r="11" spans="1:7" x14ac:dyDescent="0.3">
      <c r="A11" t="s">
        <v>62</v>
      </c>
      <c r="B11" t="s">
        <v>76</v>
      </c>
      <c r="C11" t="s">
        <v>78</v>
      </c>
      <c r="D11">
        <v>114.9</v>
      </c>
      <c r="E11">
        <v>5</v>
      </c>
      <c r="F11">
        <v>0</v>
      </c>
      <c r="G11">
        <v>34.47</v>
      </c>
    </row>
    <row r="12" spans="1:7" x14ac:dyDescent="0.3">
      <c r="A12" t="s">
        <v>62</v>
      </c>
      <c r="B12" t="s">
        <v>79</v>
      </c>
      <c r="C12" t="s">
        <v>80</v>
      </c>
      <c r="D12">
        <v>1706.184</v>
      </c>
      <c r="E12">
        <v>9</v>
      </c>
      <c r="F12">
        <v>0.2</v>
      </c>
      <c r="G12">
        <v>85.309200000000004</v>
      </c>
    </row>
    <row r="13" spans="1:7" x14ac:dyDescent="0.3">
      <c r="A13" t="s">
        <v>62</v>
      </c>
      <c r="B13" t="s">
        <v>81</v>
      </c>
      <c r="C13" t="s">
        <v>82</v>
      </c>
      <c r="D13">
        <v>911.42399999999998</v>
      </c>
      <c r="E13">
        <v>4</v>
      </c>
      <c r="F13">
        <v>0.2</v>
      </c>
      <c r="G13">
        <v>68.356800000000007</v>
      </c>
    </row>
    <row r="16" spans="1:7" ht="15" thickBot="1" x14ac:dyDescent="0.35"/>
    <row r="17" spans="1:9" s="2" customFormat="1" ht="18.600000000000001" thickBot="1" x14ac:dyDescent="0.4">
      <c r="A17" s="17" t="s">
        <v>110</v>
      </c>
      <c r="B17" s="10" t="s">
        <v>62</v>
      </c>
      <c r="C17" s="3" t="str">
        <f>_xlfn.XLOOKUP(B17,A2:A13,C2:C13,"",0,1)</f>
        <v>Eldon Expressions Wood and Plastic Desk Accessories, Cherry Wood</v>
      </c>
      <c r="I17" s="4" t="s">
        <v>83</v>
      </c>
    </row>
    <row r="18" spans="1:9" s="2" customFormat="1" ht="18" x14ac:dyDescent="0.35">
      <c r="I18" s="5" t="s">
        <v>104</v>
      </c>
    </row>
    <row r="19" spans="1:9" x14ac:dyDescent="0.3">
      <c r="C19" s="11" t="s">
        <v>87</v>
      </c>
      <c r="I19" s="5" t="s">
        <v>91</v>
      </c>
    </row>
    <row r="20" spans="1:9" x14ac:dyDescent="0.3">
      <c r="I20" s="5" t="s">
        <v>90</v>
      </c>
    </row>
    <row r="21" spans="1:9" x14ac:dyDescent="0.3">
      <c r="I21" s="5" t="s">
        <v>84</v>
      </c>
    </row>
    <row r="22" spans="1:9" ht="15" thickBot="1" x14ac:dyDescent="0.35">
      <c r="I22" s="5" t="s">
        <v>85</v>
      </c>
    </row>
    <row r="23" spans="1:9" ht="18.600000000000001" thickBot="1" x14ac:dyDescent="0.4">
      <c r="A23" s="18" t="s">
        <v>111</v>
      </c>
      <c r="B23" s="10" t="s">
        <v>62</v>
      </c>
      <c r="C23" s="3" t="str">
        <f>_xlfn.XLOOKUP(B23,A2:A13,C2:C13,"",0,-1)</f>
        <v>Konftel 250 ConferenceÂ phoneÂ - Charcoal black</v>
      </c>
      <c r="I23" s="5" t="s">
        <v>102</v>
      </c>
    </row>
    <row r="24" spans="1:9" ht="15" thickBot="1" x14ac:dyDescent="0.35">
      <c r="I24" s="6" t="s">
        <v>103</v>
      </c>
    </row>
    <row r="26" spans="1:9" x14ac:dyDescent="0.3">
      <c r="C26" s="11" t="s">
        <v>101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79FDD-B979-4D3C-AC5D-FA10A0221A91}">
  <dimension ref="A1:H23"/>
  <sheetViews>
    <sheetView workbookViewId="0">
      <selection activeCell="E21" sqref="E21"/>
    </sheetView>
  </sheetViews>
  <sheetFormatPr defaultRowHeight="14.4" x14ac:dyDescent="0.3"/>
  <cols>
    <col min="1" max="2" width="18.88671875" bestFit="1" customWidth="1"/>
    <col min="3" max="3" width="71.88671875" bestFit="1" customWidth="1"/>
    <col min="4" max="4" width="8" bestFit="1" customWidth="1"/>
    <col min="5" max="5" width="8.109375" bestFit="1" customWidth="1"/>
    <col min="6" max="6" width="8.6640625" bestFit="1" customWidth="1"/>
    <col min="8" max="8" width="39.5546875" bestFit="1" customWidth="1"/>
  </cols>
  <sheetData>
    <row r="1" spans="1:6" x14ac:dyDescent="0.3">
      <c r="A1" t="s">
        <v>6</v>
      </c>
      <c r="B1" t="s">
        <v>13</v>
      </c>
      <c r="C1" t="s">
        <v>16</v>
      </c>
      <c r="D1" t="s">
        <v>18</v>
      </c>
      <c r="E1" t="s">
        <v>19</v>
      </c>
      <c r="F1" t="s">
        <v>20</v>
      </c>
    </row>
    <row r="2" spans="1:6" x14ac:dyDescent="0.3">
      <c r="A2" t="s">
        <v>24</v>
      </c>
      <c r="B2" t="s">
        <v>30</v>
      </c>
      <c r="C2" t="s">
        <v>33</v>
      </c>
      <c r="D2">
        <v>2</v>
      </c>
      <c r="E2">
        <v>0</v>
      </c>
      <c r="F2">
        <v>41.913600000000002</v>
      </c>
    </row>
    <row r="3" spans="1:6" x14ac:dyDescent="0.3">
      <c r="A3" t="s">
        <v>24</v>
      </c>
      <c r="B3" t="s">
        <v>34</v>
      </c>
      <c r="C3" t="s">
        <v>36</v>
      </c>
      <c r="D3">
        <v>3</v>
      </c>
      <c r="E3">
        <v>0</v>
      </c>
      <c r="F3">
        <v>219.58199999999999</v>
      </c>
    </row>
    <row r="4" spans="1:6" x14ac:dyDescent="0.3">
      <c r="A4" t="s">
        <v>39</v>
      </c>
      <c r="B4" t="s">
        <v>44</v>
      </c>
      <c r="C4" t="s">
        <v>47</v>
      </c>
      <c r="D4">
        <v>2</v>
      </c>
      <c r="E4">
        <v>0</v>
      </c>
      <c r="F4">
        <v>6.8714000000000004</v>
      </c>
    </row>
    <row r="5" spans="1:6" x14ac:dyDescent="0.3">
      <c r="A5" t="s">
        <v>51</v>
      </c>
      <c r="B5" t="s">
        <v>54</v>
      </c>
      <c r="C5" t="s">
        <v>56</v>
      </c>
      <c r="D5">
        <v>5</v>
      </c>
      <c r="E5">
        <v>0.45</v>
      </c>
      <c r="F5">
        <v>-383.03100000000001</v>
      </c>
    </row>
    <row r="6" spans="1:6" x14ac:dyDescent="0.3">
      <c r="A6" t="s">
        <v>51</v>
      </c>
      <c r="B6" t="s">
        <v>57</v>
      </c>
      <c r="C6" t="s">
        <v>59</v>
      </c>
      <c r="D6">
        <v>2</v>
      </c>
      <c r="E6">
        <v>0.2</v>
      </c>
      <c r="F6">
        <v>2.5164</v>
      </c>
    </row>
    <row r="7" spans="1:6" x14ac:dyDescent="0.3">
      <c r="A7" t="s">
        <v>62</v>
      </c>
      <c r="B7" t="s">
        <v>63</v>
      </c>
      <c r="C7" t="s">
        <v>65</v>
      </c>
      <c r="D7">
        <v>7</v>
      </c>
      <c r="E7">
        <v>0</v>
      </c>
      <c r="F7">
        <v>14.1694</v>
      </c>
    </row>
    <row r="8" spans="1:6" x14ac:dyDescent="0.3">
      <c r="A8" t="s">
        <v>62</v>
      </c>
      <c r="B8" t="s">
        <v>66</v>
      </c>
      <c r="C8" t="s">
        <v>68</v>
      </c>
      <c r="D8">
        <v>4</v>
      </c>
      <c r="E8">
        <v>0</v>
      </c>
      <c r="F8">
        <v>1.9656</v>
      </c>
    </row>
    <row r="9" spans="1:6" x14ac:dyDescent="0.3">
      <c r="A9" t="s">
        <v>62</v>
      </c>
      <c r="B9" t="s">
        <v>69</v>
      </c>
      <c r="C9" t="s">
        <v>72</v>
      </c>
      <c r="D9">
        <v>6</v>
      </c>
      <c r="E9">
        <v>0.2</v>
      </c>
      <c r="F9">
        <v>90.715199999999996</v>
      </c>
    </row>
    <row r="10" spans="1:6" x14ac:dyDescent="0.3">
      <c r="A10" t="s">
        <v>62</v>
      </c>
      <c r="B10" t="s">
        <v>73</v>
      </c>
      <c r="C10" t="s">
        <v>75</v>
      </c>
      <c r="D10">
        <v>3</v>
      </c>
      <c r="E10">
        <v>0.2</v>
      </c>
      <c r="F10">
        <v>5.7824999999999998</v>
      </c>
    </row>
    <row r="11" spans="1:6" x14ac:dyDescent="0.3">
      <c r="A11" t="s">
        <v>62</v>
      </c>
      <c r="B11" t="s">
        <v>76</v>
      </c>
      <c r="C11" t="s">
        <v>78</v>
      </c>
      <c r="D11">
        <v>5</v>
      </c>
      <c r="E11">
        <v>0</v>
      </c>
      <c r="F11">
        <v>34.47</v>
      </c>
    </row>
    <row r="12" spans="1:6" x14ac:dyDescent="0.3">
      <c r="A12" t="s">
        <v>62</v>
      </c>
      <c r="B12" t="s">
        <v>79</v>
      </c>
      <c r="C12" t="s">
        <v>80</v>
      </c>
      <c r="D12">
        <v>9</v>
      </c>
      <c r="E12">
        <v>0.2</v>
      </c>
      <c r="F12">
        <v>85.309200000000004</v>
      </c>
    </row>
    <row r="13" spans="1:6" x14ac:dyDescent="0.3">
      <c r="A13" t="s">
        <v>62</v>
      </c>
      <c r="B13" t="s">
        <v>81</v>
      </c>
      <c r="C13" t="s">
        <v>82</v>
      </c>
      <c r="D13">
        <v>4</v>
      </c>
      <c r="E13">
        <v>0.2</v>
      </c>
      <c r="F13">
        <v>68.356800000000007</v>
      </c>
    </row>
    <row r="17" spans="1:8" ht="15" thickBot="1" x14ac:dyDescent="0.35">
      <c r="B17" t="s">
        <v>6</v>
      </c>
      <c r="C17" t="s">
        <v>20</v>
      </c>
    </row>
    <row r="18" spans="1:8" s="2" customFormat="1" ht="18.600000000000001" thickBot="1" x14ac:dyDescent="0.4">
      <c r="A18" s="17"/>
      <c r="B18" s="8" t="s">
        <v>62</v>
      </c>
      <c r="C18" s="7">
        <f>_xlfn.XLOOKUP(B18,A2:A13,F2:F13,"",0)</f>
        <v>14.1694</v>
      </c>
      <c r="H18" s="4" t="s">
        <v>83</v>
      </c>
    </row>
    <row r="19" spans="1:8" x14ac:dyDescent="0.3">
      <c r="H19" s="5" t="s">
        <v>88</v>
      </c>
    </row>
    <row r="20" spans="1:8" x14ac:dyDescent="0.3">
      <c r="H20" s="5" t="s">
        <v>96</v>
      </c>
    </row>
    <row r="21" spans="1:8" ht="18" x14ac:dyDescent="0.35">
      <c r="A21" s="17"/>
      <c r="B21" s="19"/>
      <c r="C21" s="19"/>
      <c r="H21" s="5" t="s">
        <v>99</v>
      </c>
    </row>
    <row r="22" spans="1:8" x14ac:dyDescent="0.3">
      <c r="B22" s="13" t="s">
        <v>109</v>
      </c>
      <c r="C22" s="20" t="s">
        <v>108</v>
      </c>
      <c r="H22" s="5" t="s">
        <v>84</v>
      </c>
    </row>
    <row r="23" spans="1:8" ht="15" thickBot="1" x14ac:dyDescent="0.35">
      <c r="B23" s="21" t="s">
        <v>112</v>
      </c>
      <c r="C23" s="22" t="s">
        <v>108</v>
      </c>
      <c r="H23" s="6" t="s">
        <v>85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AF5C4B4-F237-487B-BE0A-679D9187BA6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</vt:lpstr>
      <vt:lpstr>Xlookup</vt:lpstr>
      <vt:lpstr>Example 2_notfound</vt:lpstr>
      <vt:lpstr>Example 3_Search Order</vt:lpstr>
      <vt:lpstr>Example 4_Multiple Columns</vt:lpstr>
      <vt:lpstr>Example 5_Searchmode</vt:lpstr>
      <vt:lpstr>Xlookup_removecol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 Armstrong</dc:creator>
  <cp:lastModifiedBy>Rose Armstrong</cp:lastModifiedBy>
  <dcterms:created xsi:type="dcterms:W3CDTF">2026-02-19T13:55:57Z</dcterms:created>
  <dcterms:modified xsi:type="dcterms:W3CDTF">2026-02-28T21:04:56Z</dcterms:modified>
</cp:coreProperties>
</file>