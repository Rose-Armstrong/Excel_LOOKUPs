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"/>
    </mc:Choice>
  </mc:AlternateContent>
  <xr:revisionPtr revIDLastSave="3" documentId="8_{3E8F6666-AB4A-42E3-A69A-BA95EED16949}" xr6:coauthVersionLast="47" xr6:coauthVersionMax="47" xr10:uidLastSave="{01307650-6F03-402E-A7B2-5384CCB452DC}"/>
  <bookViews>
    <workbookView xWindow="-108" yWindow="-108" windowWidth="23256" windowHeight="13176" activeTab="1" xr2:uid="{3D6EEDC6-63AC-4240-B1DC-D7CB750EB9E0}"/>
  </bookViews>
  <sheets>
    <sheet name="DATA" sheetId="10" r:id="rId1"/>
    <sheet name="Vlookup" sheetId="11" r:id="rId2"/>
    <sheet name="Example 2" sheetId="13" r:id="rId3"/>
    <sheet name="Example 3" sheetId="14" r:id="rId4"/>
    <sheet name="Example 4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5" l="1"/>
  <c r="I25" i="14"/>
  <c r="I17" i="14"/>
  <c r="I17" i="13"/>
  <c r="I17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CDD0D-DA5F-4437-98B0-41634A42AC33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" xr16:uid="{A94F1C84-44DB-4336-A0DA-12634A9CCDF0}" keepAlive="1" name="Query - Table6 (2)" description="Connection to the 'Table6 (2)' query in the workbook." type="5" refreshedVersion="8" background="1" saveData="1">
    <dbPr connection="Provider=Microsoft.Mashup.OleDb.1;Data Source=$Workbook$;Location=&quot;Table6 (2)&quot;;Extended Properties=&quot;&quot;" command="SELECT * FROM [Table6 (2)]"/>
  </connection>
</connections>
</file>

<file path=xl/sharedStrings.xml><?xml version="1.0" encoding="utf-8"?>
<sst xmlns="http://schemas.openxmlformats.org/spreadsheetml/2006/main" count="362" uniqueCount="98">
  <si>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</si>
  <si>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</si>
  <si>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</si>
  <si>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</si>
  <si>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</si>
  <si>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</si>
  <si>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</si>
  <si>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</si>
  <si>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</si>
  <si>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</si>
  <si>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</si>
  <si>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</si>
  <si>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</si>
  <si>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</si>
  <si>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</si>
  <si>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</si>
  <si>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</si>
  <si>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</si>
  <si>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</si>
  <si>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</si>
  <si>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</si>
  <si>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</si>
  <si>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</si>
  <si>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</si>
  <si>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</si>
  <si>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</si>
  <si>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</si>
  <si>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</si>
  <si>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</si>
  <si>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</si>
  <si>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</si>
  <si>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</si>
  <si>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</si>
  <si>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</si>
  <si>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</si>
  <si>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</si>
  <si>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</si>
  <si>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</si>
  <si>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</si>
  <si>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</si>
  <si>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</si>
  <si>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</si>
  <si>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</si>
  <si>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</si>
  <si>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</si>
  <si>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</si>
  <si>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</si>
  <si>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</si>
  <si>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</si>
  <si>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</si>
  <si>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</si>
  <si>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</si>
  <si>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</si>
  <si>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</si>
  <si>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</si>
  <si>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</si>
  <si>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</si>
  <si>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</si>
  <si>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</si>
  <si>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</si>
  <si>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</si>
  <si>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</si>
  <si>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</si>
  <si>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</si>
  <si>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</si>
  <si>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</si>
  <si>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</si>
  <si>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</si>
  <si>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</si>
  <si>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</si>
  <si>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</si>
  <si>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</si>
  <si>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</si>
  <si>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</si>
  <si>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</si>
  <si>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</si>
  <si>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</si>
  <si>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</si>
  <si>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</si>
  <si>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</si>
  <si>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</si>
  <si>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</si>
  <si>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</si>
  <si>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LookupValue = "Brosina Hoffman"</t>
  </si>
  <si>
    <t>Table_Array= A1:G13</t>
  </si>
  <si>
    <t>True/1= approximate match</t>
  </si>
  <si>
    <t>False/0= exact match</t>
  </si>
  <si>
    <t>col_index_num = 3</t>
  </si>
  <si>
    <t>LookupValue = "Sean O'Donnell"</t>
  </si>
  <si>
    <t>col_index_num = 4</t>
  </si>
  <si>
    <t>LookupValue = "Hon Deluxe Fabric Upholstered Stacking Chairs, Rounded Back"</t>
  </si>
  <si>
    <t>Change Table_Array= C1:G13</t>
  </si>
  <si>
    <t>col_index_num = 3 ( After Removing the third column)</t>
  </si>
  <si>
    <t>Expected Output: 957.5775</t>
  </si>
  <si>
    <t xml:space="preserve">Expected Output: Error </t>
  </si>
  <si>
    <t>Expected output: 0</t>
  </si>
  <si>
    <t>Expected output: Bretford CR4500 Series Slim Rectangular Table</t>
  </si>
  <si>
    <t>Expected output: Eldon Expressions Wood and Plastic Desk Accessories, Cherry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</si>
</sst>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D60F-DDD6-4C7D-9FB8-6BE8DB107321}">
  <dimension ref="A1:U13"/>
  <sheetViews>
    <sheetView topLeftCell="I1" workbookViewId="0">
      <selection activeCell="W8" sqref="W8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5.44140625" bestFit="1" customWidth="1"/>
    <col min="5" max="5" width="12.77734375" bestFit="1" customWidth="1"/>
    <col min="6" max="6" width="11.109375" bestFit="1" customWidth="1"/>
    <col min="7" max="7" width="14.88671875" bestFit="1" customWidth="1"/>
    <col min="8" max="8" width="9.33203125" bestFit="1" customWidth="1"/>
    <col min="9" max="9" width="11.88671875" bestFit="1" customWidth="1"/>
    <col min="10" max="10" width="13.88671875" bestFit="1" customWidth="1"/>
    <col min="12" max="12" width="10.6640625" bestFit="1" customWidth="1"/>
    <col min="13" max="13" width="6.5546875" bestFit="1" customWidth="1"/>
    <col min="14" max="14" width="16.21875" bestFit="1" customWidth="1"/>
    <col min="15" max="15" width="13.109375" bestFit="1" customWidth="1"/>
    <col min="16" max="16" width="11.88671875" bestFit="1" customWidth="1"/>
    <col min="17" max="17" width="57.109375" bestFit="1" customWidth="1"/>
    <col min="18" max="18" width="9" bestFit="1" customWidth="1"/>
    <col min="19" max="19" width="8" bestFit="1" customWidth="1"/>
    <col min="20" max="20" width="8.109375" bestFit="1" customWidth="1"/>
    <col min="21" max="21" width="8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43075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42684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42684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42253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42253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42253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42253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42253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42253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42253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3E3C-EA03-448F-9C51-04CCDBA75187}">
  <dimension ref="A1:I21"/>
  <sheetViews>
    <sheetView tabSelected="1" workbookViewId="0">
      <selection activeCell="C27" sqref="C27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74" bestFit="1" customWidth="1"/>
  </cols>
  <sheetData>
    <row r="1" spans="1:9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9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9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9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9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9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9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9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9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9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9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  <c r="I11" t="s">
        <v>83</v>
      </c>
    </row>
    <row r="12" spans="1:9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  <c r="I12" t="s">
        <v>84</v>
      </c>
    </row>
    <row r="13" spans="1:9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  <c r="I13" t="s">
        <v>87</v>
      </c>
    </row>
    <row r="14" spans="1:9" x14ac:dyDescent="0.3">
      <c r="I14" t="s">
        <v>85</v>
      </c>
    </row>
    <row r="15" spans="1:9" x14ac:dyDescent="0.3">
      <c r="I15" t="s">
        <v>86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  <c r="I17" s="3" t="str">
        <f>VLOOKUP(A7,A1:G13,3,FALSE)</f>
        <v>Eldon Expressions Wood and Plastic Desk Accessories, Cherry Wood</v>
      </c>
    </row>
    <row r="21" spans="1:9" x14ac:dyDescent="0.3">
      <c r="I21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2476-C5DC-4228-AA0D-D396EA1EE4AA}">
  <dimension ref="A1:I20"/>
  <sheetViews>
    <sheetView workbookViewId="0">
      <selection activeCell="I20" sqref="I20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74" bestFit="1" customWidth="1"/>
  </cols>
  <sheetData>
    <row r="1" spans="1:9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9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9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9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9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9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9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9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9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9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9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  <c r="I11" t="s">
        <v>88</v>
      </c>
    </row>
    <row r="12" spans="1:9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  <c r="I12" t="s">
        <v>84</v>
      </c>
    </row>
    <row r="13" spans="1:9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  <c r="I13" t="s">
        <v>89</v>
      </c>
    </row>
    <row r="14" spans="1:9" x14ac:dyDescent="0.3">
      <c r="I14" t="s">
        <v>85</v>
      </c>
    </row>
    <row r="15" spans="1:9" x14ac:dyDescent="0.3">
      <c r="I15" t="s">
        <v>86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  <c r="I17" s="3">
        <f>VLOOKUP(A5,A1:G13,4,0)</f>
        <v>957.57749999999999</v>
      </c>
    </row>
    <row r="20" spans="1:9" x14ac:dyDescent="0.3">
      <c r="I20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A903-6C49-43C5-B2ED-508F9CE1DE8E}">
  <dimension ref="A1:I27"/>
  <sheetViews>
    <sheetView topLeftCell="A5" workbookViewId="0">
      <selection activeCell="C24" sqref="C24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74" bestFit="1" customWidth="1"/>
  </cols>
  <sheetData>
    <row r="1" spans="1:9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9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9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9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9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9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9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9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9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9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  <c r="I10" t="s">
        <v>90</v>
      </c>
    </row>
    <row r="11" spans="1:9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  <c r="I11" t="s">
        <v>84</v>
      </c>
    </row>
    <row r="12" spans="1:9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  <c r="I12" t="s">
        <v>89</v>
      </c>
    </row>
    <row r="13" spans="1:9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  <c r="I13" t="s">
        <v>85</v>
      </c>
    </row>
    <row r="14" spans="1:9" x14ac:dyDescent="0.3">
      <c r="I14" t="s">
        <v>86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  <c r="I17" s="3" t="e">
        <f>VLOOKUP(C3,A1:G13,4,0)</f>
        <v>#N/A</v>
      </c>
    </row>
    <row r="19" spans="1:9" x14ac:dyDescent="0.3">
      <c r="I19" t="s">
        <v>94</v>
      </c>
    </row>
    <row r="20" spans="1:9" s="2" customFormat="1" ht="18" x14ac:dyDescent="0.35"/>
    <row r="21" spans="1:9" s="2" customFormat="1" ht="33.6" customHeight="1" x14ac:dyDescent="0.35">
      <c r="C21" s="2">
        <v>1</v>
      </c>
      <c r="D21" s="2">
        <v>2</v>
      </c>
      <c r="E21" s="2">
        <v>3</v>
      </c>
      <c r="F21" s="2">
        <v>4</v>
      </c>
      <c r="G21" s="2">
        <v>5</v>
      </c>
    </row>
    <row r="23" spans="1:9" x14ac:dyDescent="0.3">
      <c r="I23" t="s">
        <v>91</v>
      </c>
    </row>
    <row r="25" spans="1:9" ht="18" x14ac:dyDescent="0.35">
      <c r="I25" s="3">
        <f>VLOOKUP(C3,C1:G13,4,0)</f>
        <v>0</v>
      </c>
    </row>
    <row r="27" spans="1:9" x14ac:dyDescent="0.3">
      <c r="I27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E67-4A2D-48D5-B174-BB9C1AF4FF4C}">
  <dimension ref="A1:H20"/>
  <sheetViews>
    <sheetView workbookViewId="0">
      <selection activeCell="C5" sqref="C5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9" bestFit="1" customWidth="1"/>
    <col min="4" max="4" width="8" bestFit="1" customWidth="1"/>
    <col min="5" max="5" width="8.109375" bestFit="1" customWidth="1"/>
    <col min="6" max="6" width="8.6640625" bestFit="1" customWidth="1"/>
    <col min="8" max="8" width="74" bestFit="1" customWidth="1"/>
  </cols>
  <sheetData>
    <row r="1" spans="1:8" x14ac:dyDescent="0.3">
      <c r="A1" t="s">
        <v>6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</row>
    <row r="2" spans="1:8" x14ac:dyDescent="0.3">
      <c r="A2" t="s">
        <v>24</v>
      </c>
      <c r="B2" t="s">
        <v>30</v>
      </c>
      <c r="C2">
        <v>261.95999999999998</v>
      </c>
      <c r="D2">
        <v>2</v>
      </c>
      <c r="E2">
        <v>0</v>
      </c>
      <c r="F2">
        <v>41.913600000000002</v>
      </c>
    </row>
    <row r="3" spans="1:8" x14ac:dyDescent="0.3">
      <c r="A3" t="s">
        <v>24</v>
      </c>
      <c r="B3" t="s">
        <v>34</v>
      </c>
      <c r="C3">
        <v>731.94</v>
      </c>
      <c r="D3">
        <v>3</v>
      </c>
      <c r="E3">
        <v>0</v>
      </c>
      <c r="F3">
        <v>219.58199999999999</v>
      </c>
    </row>
    <row r="4" spans="1:8" x14ac:dyDescent="0.3">
      <c r="A4" t="s">
        <v>39</v>
      </c>
      <c r="B4" t="s">
        <v>44</v>
      </c>
      <c r="C4">
        <v>14.62</v>
      </c>
      <c r="D4">
        <v>2</v>
      </c>
      <c r="E4">
        <v>0</v>
      </c>
      <c r="F4">
        <v>6.8714000000000004</v>
      </c>
    </row>
    <row r="5" spans="1:8" x14ac:dyDescent="0.3">
      <c r="A5" t="s">
        <v>51</v>
      </c>
      <c r="B5" t="s">
        <v>54</v>
      </c>
      <c r="C5">
        <v>957.57749999999999</v>
      </c>
      <c r="D5">
        <v>5</v>
      </c>
      <c r="E5">
        <v>0.45</v>
      </c>
      <c r="F5">
        <v>-383.03100000000001</v>
      </c>
    </row>
    <row r="6" spans="1:8" x14ac:dyDescent="0.3">
      <c r="A6" t="s">
        <v>51</v>
      </c>
      <c r="B6" t="s">
        <v>57</v>
      </c>
      <c r="C6">
        <v>22.367999999999999</v>
      </c>
      <c r="D6">
        <v>2</v>
      </c>
      <c r="E6">
        <v>0.2</v>
      </c>
      <c r="F6">
        <v>2.5164</v>
      </c>
    </row>
    <row r="7" spans="1:8" x14ac:dyDescent="0.3">
      <c r="A7" t="s">
        <v>62</v>
      </c>
      <c r="B7" t="s">
        <v>63</v>
      </c>
      <c r="C7">
        <v>48.86</v>
      </c>
      <c r="D7">
        <v>7</v>
      </c>
      <c r="E7">
        <v>0</v>
      </c>
      <c r="F7">
        <v>14.1694</v>
      </c>
    </row>
    <row r="8" spans="1:8" x14ac:dyDescent="0.3">
      <c r="A8" t="s">
        <v>62</v>
      </c>
      <c r="B8" t="s">
        <v>66</v>
      </c>
      <c r="C8">
        <v>7.28</v>
      </c>
      <c r="D8">
        <v>4</v>
      </c>
      <c r="E8">
        <v>0</v>
      </c>
      <c r="F8">
        <v>1.9656</v>
      </c>
    </row>
    <row r="9" spans="1:8" x14ac:dyDescent="0.3">
      <c r="A9" t="s">
        <v>62</v>
      </c>
      <c r="B9" t="s">
        <v>69</v>
      </c>
      <c r="C9">
        <v>907.15200000000004</v>
      </c>
      <c r="D9">
        <v>6</v>
      </c>
      <c r="E9">
        <v>0.2</v>
      </c>
      <c r="F9">
        <v>90.715199999999996</v>
      </c>
    </row>
    <row r="10" spans="1:8" x14ac:dyDescent="0.3">
      <c r="A10" t="s">
        <v>62</v>
      </c>
      <c r="B10" t="s">
        <v>73</v>
      </c>
      <c r="C10">
        <v>18.504000000000001</v>
      </c>
      <c r="D10">
        <v>3</v>
      </c>
      <c r="E10">
        <v>0.2</v>
      </c>
      <c r="F10">
        <v>5.7824999999999998</v>
      </c>
      <c r="H10" t="s">
        <v>88</v>
      </c>
    </row>
    <row r="11" spans="1:8" x14ac:dyDescent="0.3">
      <c r="A11" t="s">
        <v>62</v>
      </c>
      <c r="B11" t="s">
        <v>76</v>
      </c>
      <c r="C11">
        <v>114.9</v>
      </c>
      <c r="D11">
        <v>5</v>
      </c>
      <c r="E11">
        <v>0</v>
      </c>
      <c r="F11">
        <v>34.47</v>
      </c>
      <c r="H11" t="s">
        <v>84</v>
      </c>
    </row>
    <row r="12" spans="1:8" x14ac:dyDescent="0.3">
      <c r="A12" t="s">
        <v>62</v>
      </c>
      <c r="B12" t="s">
        <v>79</v>
      </c>
      <c r="C12">
        <v>1706.184</v>
      </c>
      <c r="D12">
        <v>9</v>
      </c>
      <c r="E12">
        <v>0.2</v>
      </c>
      <c r="F12">
        <v>85.309200000000004</v>
      </c>
      <c r="H12" t="s">
        <v>92</v>
      </c>
    </row>
    <row r="13" spans="1:8" x14ac:dyDescent="0.3">
      <c r="A13" t="s">
        <v>62</v>
      </c>
      <c r="B13" t="s">
        <v>81</v>
      </c>
      <c r="C13">
        <v>911.42399999999998</v>
      </c>
      <c r="D13">
        <v>4</v>
      </c>
      <c r="E13">
        <v>0.2</v>
      </c>
      <c r="F13">
        <v>68.356800000000007</v>
      </c>
      <c r="H13" t="s">
        <v>85</v>
      </c>
    </row>
    <row r="14" spans="1:8" x14ac:dyDescent="0.3">
      <c r="H14" t="s">
        <v>86</v>
      </c>
    </row>
    <row r="17" spans="1:8" s="2" customFormat="1" ht="18" x14ac:dyDescent="0.35">
      <c r="A17" s="2">
        <v>1</v>
      </c>
      <c r="B17" s="2">
        <v>2</v>
      </c>
      <c r="C17" s="2">
        <v>4</v>
      </c>
      <c r="D17" s="2">
        <v>5</v>
      </c>
      <c r="E17" s="2">
        <v>6</v>
      </c>
      <c r="F17" s="2">
        <v>7</v>
      </c>
      <c r="H17" s="3">
        <f>VLOOKUP(A5,A1:F13,3,0)</f>
        <v>957.57749999999999</v>
      </c>
    </row>
    <row r="18" spans="1:8" s="2" customFormat="1" ht="32.4" customHeight="1" x14ac:dyDescent="0.35">
      <c r="A18" s="2">
        <v>1</v>
      </c>
      <c r="B18" s="2">
        <v>2</v>
      </c>
      <c r="C18" s="2">
        <v>3</v>
      </c>
      <c r="D18" s="2">
        <v>4</v>
      </c>
      <c r="E18" s="2">
        <v>5</v>
      </c>
      <c r="F18" s="2">
        <v>6</v>
      </c>
    </row>
    <row r="20" spans="1:8" x14ac:dyDescent="0.3">
      <c r="H20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C4B4-F237-487B-BE0A-679D9187B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Vlookup</vt:lpstr>
      <vt:lpstr>Example 2</vt:lpstr>
      <vt:lpstr>Example 3</vt:lpstr>
      <vt:lpstr>Example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Armstrong</dc:creator>
  <cp:lastModifiedBy>Rose Armstrong</cp:lastModifiedBy>
  <dcterms:created xsi:type="dcterms:W3CDTF">2026-02-19T13:55:57Z</dcterms:created>
  <dcterms:modified xsi:type="dcterms:W3CDTF">2026-02-26T17:50:34Z</dcterms:modified>
</cp:coreProperties>
</file>