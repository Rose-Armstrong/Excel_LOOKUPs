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"/>
    </mc:Choice>
  </mc:AlternateContent>
  <xr:revisionPtr revIDLastSave="2" documentId="13_ncr:1_{1FE46AFD-B9D1-473A-B6F5-FE7DBF4D057F}" xr6:coauthVersionLast="47" xr6:coauthVersionMax="47" xr10:uidLastSave="{82364415-E778-4412-8ADE-E24946913E9C}"/>
  <bookViews>
    <workbookView xWindow="-108" yWindow="-108" windowWidth="23256" windowHeight="13176" activeTab="3" xr2:uid="{3D6EEDC6-63AC-4240-B1DC-D7CB750EB9E0}"/>
  </bookViews>
  <sheets>
    <sheet name="DATA" sheetId="10" r:id="rId1"/>
    <sheet name="INDEX-MATCH" sheetId="11" r:id="rId2"/>
    <sheet name="INDEX-MATCH with colnum" sheetId="13" r:id="rId3"/>
    <sheet name="2way lookup-indexmatch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5" l="1"/>
  <c r="C21" i="13" a="1"/>
  <c r="C21" i="13" s="1"/>
  <c r="C2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6CDD0D-DA5F-4437-98B0-41634A42AC33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  <connection id="2" xr16:uid="{A94F1C84-44DB-4336-A0DA-12634A9CCDF0}" keepAlive="1" name="Query - Table6 (2)" description="Connection to the 'Table6 (2)' query in the workbook." type="5" refreshedVersion="8" background="1" saveData="1">
    <dbPr connection="Provider=Microsoft.Mashup.OleDb.1;Data Source=$Workbook$;Location=&quot;Table6 (2)&quot;;Extended Properties=&quot;&quot;" command="SELECT * FROM [Table6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<sst xmlns="http://schemas.openxmlformats.org/spreadsheetml/2006/main" count="341" uniqueCount="103">
  <si>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</si>
  <si>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</si>
  <si>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</si>
  <si>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</si>
  <si>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</si>
  <si>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</si>
  <si>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</si>
  <si>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</si>
  <si>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</si>
  <si>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</si>
  <si>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</si>
  <si>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</si>
  <si>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</si>
  <si>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</si>
  <si>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</si>
  <si>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</si>
  <si>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</si>
  <si>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</si>
  <si>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</si>
  <si>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</si>
  <si>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</si>
  <si>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</si>
  <si>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</si>
  <si>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</si>
  <si>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</si>
  <si>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</si>
  <si>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</si>
  <si>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</si>
  <si>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</si>
  <si>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</si>
  <si>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</si>
  <si>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</si>
  <si>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</si>
  <si>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</si>
  <si>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</si>
  <si>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</si>
  <si>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</si>
  <si>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</si>
  <si>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</si>
  <si>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</si>
  <si>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</si>
  <si>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</si>
  <si>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</si>
  <si>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</si>
  <si>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</si>
  <si>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</si>
  <si>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</si>
  <si>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</si>
  <si>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</si>
  <si>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</si>
  <si>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</si>
  <si>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</si>
  <si>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</si>
  <si>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</si>
  <si>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</si>
  <si>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</si>
  <si>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</si>
  <si>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</si>
  <si>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</si>
  <si>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</si>
  <si>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</si>
  <si>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</si>
  <si>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</si>
  <si>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</si>
  <si>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</si>
  <si>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</si>
  <si>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</si>
  <si>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</si>
  <si>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</si>
  <si>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</si>
  <si>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</si>
  <si>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</si>
  <si>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</si>
  <si>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</si>
  <si>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</si>
  <si>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</si>
  <si>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</si>
  <si>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</si>
  <si>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</si>
  <si>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</si>
  <si>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</si>
  <si>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</si>
  <si>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</si>
  <si>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Expected Output: 957.5775</t>
  </si>
  <si>
    <t>Expected output: 14.62</t>
  </si>
  <si>
    <t>array=$A$1:$G$13 -- Index</t>
  </si>
  <si>
    <t>lookup_value = "Darrin Van Huff" -- match</t>
  </si>
  <si>
    <t>lookup_array = $A$1:$A$13-- match</t>
  </si>
  <si>
    <t>column_num / row_num --index</t>
  </si>
  <si>
    <t>True/1= approximate match --match</t>
  </si>
  <si>
    <t>False/0= exact match --match</t>
  </si>
  <si>
    <t>lookup_value = "Sean O'Donnell" -- match</t>
  </si>
  <si>
    <t>column_num = 4/ row_num --index</t>
  </si>
  <si>
    <t>Expected output: 6.8714</t>
  </si>
  <si>
    <t>Column Heading</t>
  </si>
  <si>
    <t>Customer Name(row)</t>
  </si>
  <si>
    <t>lookup_value = "Sean O'Donnell" -- match 1</t>
  </si>
  <si>
    <t>lookup_array = $A$1:$A$13-- match 1</t>
  </si>
  <si>
    <t>lookup_value = "Profit" -- match 2</t>
  </si>
  <si>
    <t>lookup_array =$A$1:$G$1-- match 2</t>
  </si>
  <si>
    <t>INDEX($D$1:$D$13,MATCH($A$4,$A$1:$A$13,0))</t>
  </si>
  <si>
    <t>INDEX($A$1:$G$13,MATCH(B21,$A$1:$A$13,0),{4})</t>
  </si>
  <si>
    <t>INDEX($A$1:$G$13,MATCH($B$20,$A$2:$A$13,0),MATCH($B$21,$A$1:$G$1,0))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</si>
</sst>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D60F-DDD6-4C7D-9FB8-6BE8DB107321}">
  <dimension ref="A1:U13"/>
  <sheetViews>
    <sheetView topLeftCell="I1" workbookViewId="0">
      <selection activeCell="W8" sqref="W8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5.44140625" bestFit="1" customWidth="1"/>
    <col min="5" max="5" width="12.77734375" bestFit="1" customWidth="1"/>
    <col min="6" max="6" width="11.109375" bestFit="1" customWidth="1"/>
    <col min="7" max="7" width="14.88671875" bestFit="1" customWidth="1"/>
    <col min="8" max="8" width="9.33203125" bestFit="1" customWidth="1"/>
    <col min="9" max="9" width="11.88671875" bestFit="1" customWidth="1"/>
    <col min="10" max="10" width="13.88671875" bestFit="1" customWidth="1"/>
    <col min="12" max="12" width="10.6640625" bestFit="1" customWidth="1"/>
    <col min="13" max="13" width="6.5546875" bestFit="1" customWidth="1"/>
    <col min="14" max="14" width="16.21875" bestFit="1" customWidth="1"/>
    <col min="15" max="15" width="13.109375" bestFit="1" customWidth="1"/>
    <col min="16" max="16" width="11.88671875" bestFit="1" customWidth="1"/>
    <col min="17" max="17" width="57.109375" bestFit="1" customWidth="1"/>
    <col min="18" max="18" width="9" bestFit="1" customWidth="1"/>
    <col min="19" max="19" width="8" bestFit="1" customWidth="1"/>
    <col min="20" max="20" width="8.109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42958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42958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43075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42684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42684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42253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42253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42253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42253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42253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42253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42253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3E3C-EA03-448F-9C51-04CCDBA75187}">
  <dimension ref="A1:I26"/>
  <sheetViews>
    <sheetView topLeftCell="A5" workbookViewId="0">
      <selection activeCell="F22" sqref="F22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44.44140625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19" spans="1:9" s="9" customFormat="1" ht="15" thickBot="1" x14ac:dyDescent="0.35">
      <c r="B19" s="9" t="s">
        <v>6</v>
      </c>
      <c r="C19" s="9" t="s">
        <v>17</v>
      </c>
    </row>
    <row r="20" spans="1:9" ht="18.600000000000001" thickBot="1" x14ac:dyDescent="0.4">
      <c r="B20" s="4" t="s">
        <v>39</v>
      </c>
      <c r="C20" s="5">
        <f>INDEX($D$1:$D$13,MATCH($A$4,$A$1:$A$13,0))</f>
        <v>14.62</v>
      </c>
      <c r="I20" s="11" t="s">
        <v>85</v>
      </c>
    </row>
    <row r="21" spans="1:9" x14ac:dyDescent="0.3">
      <c r="I21" s="12" t="s">
        <v>86</v>
      </c>
    </row>
    <row r="22" spans="1:9" x14ac:dyDescent="0.3">
      <c r="I22" s="12" t="s">
        <v>87</v>
      </c>
    </row>
    <row r="23" spans="1:9" x14ac:dyDescent="0.3">
      <c r="I23" s="12" t="s">
        <v>89</v>
      </c>
    </row>
    <row r="24" spans="1:9" x14ac:dyDescent="0.3">
      <c r="C24" s="3" t="s">
        <v>84</v>
      </c>
      <c r="I24" s="12" t="s">
        <v>90</v>
      </c>
    </row>
    <row r="25" spans="1:9" x14ac:dyDescent="0.3">
      <c r="I25" s="13" t="s">
        <v>88</v>
      </c>
    </row>
    <row r="26" spans="1:9" x14ac:dyDescent="0.3">
      <c r="I26" s="13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2476-C5DC-4228-AA0D-D396EA1EE4AA}">
  <dimension ref="A1:I27"/>
  <sheetViews>
    <sheetView topLeftCell="A7" workbookViewId="0">
      <selection activeCell="F25" sqref="F25"/>
    </sheetView>
  </sheetViews>
  <sheetFormatPr defaultRowHeight="14.4" x14ac:dyDescent="0.3"/>
  <cols>
    <col min="1" max="1" width="14.886718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74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20" spans="1:9" ht="15" thickBot="1" x14ac:dyDescent="0.35">
      <c r="B20" t="s">
        <v>6</v>
      </c>
      <c r="C20" t="s">
        <v>17</v>
      </c>
    </row>
    <row r="21" spans="1:9" ht="18.600000000000001" thickBot="1" x14ac:dyDescent="0.4">
      <c r="B21" s="6" t="s">
        <v>51</v>
      </c>
      <c r="C21" s="5" cm="1">
        <f t="array" ref="C21">INDEX($A$1:$G$13,MATCH(B21,$A$1:$A$13,0),{4})</f>
        <v>957.57749999999999</v>
      </c>
      <c r="I21" s="11" t="s">
        <v>85</v>
      </c>
    </row>
    <row r="22" spans="1:9" x14ac:dyDescent="0.3">
      <c r="I22" s="12" t="s">
        <v>91</v>
      </c>
    </row>
    <row r="23" spans="1:9" x14ac:dyDescent="0.3">
      <c r="I23" s="12" t="s">
        <v>87</v>
      </c>
    </row>
    <row r="24" spans="1:9" x14ac:dyDescent="0.3">
      <c r="I24" s="12" t="s">
        <v>89</v>
      </c>
    </row>
    <row r="25" spans="1:9" x14ac:dyDescent="0.3">
      <c r="I25" s="12" t="s">
        <v>90</v>
      </c>
    </row>
    <row r="26" spans="1:9" x14ac:dyDescent="0.3">
      <c r="C26" s="3" t="s">
        <v>83</v>
      </c>
      <c r="I26" s="13" t="s">
        <v>92</v>
      </c>
    </row>
    <row r="27" spans="1:9" x14ac:dyDescent="0.3">
      <c r="I27" s="13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3E67-4A2D-48D5-B174-BB9C1AF4FF4C}">
  <dimension ref="A1:I25"/>
  <sheetViews>
    <sheetView tabSelected="1" workbookViewId="0">
      <selection activeCell="B20" sqref="B20"/>
    </sheetView>
  </sheetViews>
  <sheetFormatPr defaultRowHeight="14.4" x14ac:dyDescent="0.3"/>
  <cols>
    <col min="1" max="1" width="18.77734375" bestFit="1" customWidth="1"/>
    <col min="2" max="2" width="16.21875" bestFit="1" customWidth="1"/>
    <col min="3" max="3" width="57.109375" bestFit="1" customWidth="1"/>
    <col min="4" max="4" width="9" bestFit="1" customWidth="1"/>
    <col min="5" max="5" width="8" bestFit="1" customWidth="1"/>
    <col min="6" max="6" width="8.109375" bestFit="1" customWidth="1"/>
    <col min="7" max="7" width="8.6640625" bestFit="1" customWidth="1"/>
    <col min="9" max="9" width="66.6640625" bestFit="1" customWidth="1"/>
  </cols>
  <sheetData>
    <row r="1" spans="1:7" x14ac:dyDescent="0.3">
      <c r="A1" t="s">
        <v>6</v>
      </c>
      <c r="B1" t="s">
        <v>13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24</v>
      </c>
      <c r="B2" t="s">
        <v>30</v>
      </c>
      <c r="C2" t="s">
        <v>33</v>
      </c>
      <c r="D2">
        <v>261.95999999999998</v>
      </c>
      <c r="E2">
        <v>2</v>
      </c>
      <c r="F2">
        <v>0</v>
      </c>
      <c r="G2">
        <v>41.913600000000002</v>
      </c>
    </row>
    <row r="3" spans="1:7" x14ac:dyDescent="0.3">
      <c r="A3" t="s">
        <v>24</v>
      </c>
      <c r="B3" t="s">
        <v>34</v>
      </c>
      <c r="C3" t="s">
        <v>36</v>
      </c>
      <c r="D3">
        <v>731.94</v>
      </c>
      <c r="E3">
        <v>3</v>
      </c>
      <c r="F3">
        <v>0</v>
      </c>
      <c r="G3">
        <v>219.58199999999999</v>
      </c>
    </row>
    <row r="4" spans="1:7" x14ac:dyDescent="0.3">
      <c r="A4" t="s">
        <v>39</v>
      </c>
      <c r="B4" t="s">
        <v>44</v>
      </c>
      <c r="C4" t="s">
        <v>47</v>
      </c>
      <c r="D4">
        <v>14.62</v>
      </c>
      <c r="E4">
        <v>2</v>
      </c>
      <c r="F4">
        <v>0</v>
      </c>
      <c r="G4">
        <v>6.8714000000000004</v>
      </c>
    </row>
    <row r="5" spans="1:7" x14ac:dyDescent="0.3">
      <c r="A5" t="s">
        <v>51</v>
      </c>
      <c r="B5" t="s">
        <v>54</v>
      </c>
      <c r="C5" t="s">
        <v>56</v>
      </c>
      <c r="D5">
        <v>957.57749999999999</v>
      </c>
      <c r="E5">
        <v>5</v>
      </c>
      <c r="F5">
        <v>0.45</v>
      </c>
      <c r="G5">
        <v>-383.03100000000001</v>
      </c>
    </row>
    <row r="6" spans="1:7" x14ac:dyDescent="0.3">
      <c r="A6" t="s">
        <v>51</v>
      </c>
      <c r="B6" t="s">
        <v>57</v>
      </c>
      <c r="C6" t="s">
        <v>59</v>
      </c>
      <c r="D6">
        <v>22.367999999999999</v>
      </c>
      <c r="E6">
        <v>2</v>
      </c>
      <c r="F6">
        <v>0.2</v>
      </c>
      <c r="G6">
        <v>2.5164</v>
      </c>
    </row>
    <row r="7" spans="1:7" x14ac:dyDescent="0.3">
      <c r="A7" t="s">
        <v>62</v>
      </c>
      <c r="B7" t="s">
        <v>63</v>
      </c>
      <c r="C7" t="s">
        <v>65</v>
      </c>
      <c r="D7">
        <v>48.86</v>
      </c>
      <c r="E7">
        <v>7</v>
      </c>
      <c r="F7">
        <v>0</v>
      </c>
      <c r="G7">
        <v>14.1694</v>
      </c>
    </row>
    <row r="8" spans="1:7" x14ac:dyDescent="0.3">
      <c r="A8" t="s">
        <v>62</v>
      </c>
      <c r="B8" t="s">
        <v>66</v>
      </c>
      <c r="C8" t="s">
        <v>68</v>
      </c>
      <c r="D8">
        <v>7.28</v>
      </c>
      <c r="E8">
        <v>4</v>
      </c>
      <c r="F8">
        <v>0</v>
      </c>
      <c r="G8">
        <v>1.9656</v>
      </c>
    </row>
    <row r="9" spans="1:7" x14ac:dyDescent="0.3">
      <c r="A9" t="s">
        <v>62</v>
      </c>
      <c r="B9" t="s">
        <v>69</v>
      </c>
      <c r="C9" t="s">
        <v>72</v>
      </c>
      <c r="D9">
        <v>907.15200000000004</v>
      </c>
      <c r="E9">
        <v>6</v>
      </c>
      <c r="F9">
        <v>0.2</v>
      </c>
      <c r="G9">
        <v>90.715199999999996</v>
      </c>
    </row>
    <row r="10" spans="1:7" x14ac:dyDescent="0.3">
      <c r="A10" t="s">
        <v>62</v>
      </c>
      <c r="B10" t="s">
        <v>73</v>
      </c>
      <c r="C10" t="s">
        <v>75</v>
      </c>
      <c r="D10">
        <v>18.504000000000001</v>
      </c>
      <c r="E10">
        <v>3</v>
      </c>
      <c r="F10">
        <v>0.2</v>
      </c>
      <c r="G10">
        <v>5.7824999999999998</v>
      </c>
    </row>
    <row r="11" spans="1:7" x14ac:dyDescent="0.3">
      <c r="A11" t="s">
        <v>62</v>
      </c>
      <c r="B11" t="s">
        <v>76</v>
      </c>
      <c r="C11" t="s">
        <v>78</v>
      </c>
      <c r="D11">
        <v>114.9</v>
      </c>
      <c r="E11">
        <v>5</v>
      </c>
      <c r="F11">
        <v>0</v>
      </c>
      <c r="G11">
        <v>34.47</v>
      </c>
    </row>
    <row r="12" spans="1:7" x14ac:dyDescent="0.3">
      <c r="A12" t="s">
        <v>62</v>
      </c>
      <c r="B12" t="s">
        <v>79</v>
      </c>
      <c r="C12" t="s">
        <v>80</v>
      </c>
      <c r="D12">
        <v>1706.184</v>
      </c>
      <c r="E12">
        <v>9</v>
      </c>
      <c r="F12">
        <v>0.2</v>
      </c>
      <c r="G12">
        <v>85.309200000000004</v>
      </c>
    </row>
    <row r="13" spans="1:7" x14ac:dyDescent="0.3">
      <c r="A13" t="s">
        <v>62</v>
      </c>
      <c r="B13" t="s">
        <v>81</v>
      </c>
      <c r="C13" t="s">
        <v>82</v>
      </c>
      <c r="D13">
        <v>911.42399999999998</v>
      </c>
      <c r="E13">
        <v>4</v>
      </c>
      <c r="F13">
        <v>0.2</v>
      </c>
      <c r="G13">
        <v>68.356800000000007</v>
      </c>
    </row>
    <row r="17" spans="1:9" s="2" customFormat="1" ht="18" x14ac:dyDescent="0.35">
      <c r="A17" s="2">
        <v>1</v>
      </c>
      <c r="B17" s="2">
        <v>2</v>
      </c>
      <c r="C17" s="2">
        <v>3</v>
      </c>
      <c r="D17" s="2">
        <v>4</v>
      </c>
      <c r="E17" s="2">
        <v>5</v>
      </c>
      <c r="F17" s="2">
        <v>6</v>
      </c>
      <c r="G17" s="2">
        <v>7</v>
      </c>
    </row>
    <row r="18" spans="1:9" s="2" customFormat="1" ht="18" x14ac:dyDescent="0.35">
      <c r="I18" s="11" t="s">
        <v>85</v>
      </c>
    </row>
    <row r="19" spans="1:9" x14ac:dyDescent="0.3">
      <c r="I19" s="12" t="s">
        <v>96</v>
      </c>
    </row>
    <row r="20" spans="1:9" ht="15" thickBot="1" x14ac:dyDescent="0.35">
      <c r="A20" t="s">
        <v>95</v>
      </c>
      <c r="B20" s="7" t="s">
        <v>51</v>
      </c>
      <c r="I20" s="12" t="s">
        <v>97</v>
      </c>
    </row>
    <row r="21" spans="1:9" ht="18.600000000000001" thickBot="1" x14ac:dyDescent="0.4">
      <c r="A21" t="s">
        <v>94</v>
      </c>
      <c r="B21" s="8" t="s">
        <v>20</v>
      </c>
      <c r="C21" s="5">
        <f>INDEX($A$1:$G$13,MATCH($B$20,$A$1:$A$13,0),MATCH($B$21,$A$1:$G$1,0))</f>
        <v>-383.03100000000001</v>
      </c>
      <c r="I21" s="12" t="s">
        <v>89</v>
      </c>
    </row>
    <row r="22" spans="1:9" x14ac:dyDescent="0.3">
      <c r="I22" s="12" t="s">
        <v>90</v>
      </c>
    </row>
    <row r="23" spans="1:9" x14ac:dyDescent="0.3">
      <c r="I23" s="12" t="s">
        <v>98</v>
      </c>
    </row>
    <row r="24" spans="1:9" x14ac:dyDescent="0.3">
      <c r="I24" s="13" t="s">
        <v>99</v>
      </c>
    </row>
    <row r="25" spans="1:9" x14ac:dyDescent="0.3">
      <c r="C25" s="3" t="s">
        <v>93</v>
      </c>
      <c r="I25" s="10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F5C4B4-F237-487B-BE0A-679D9187B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INDEX-MATCH</vt:lpstr>
      <vt:lpstr>INDEX-MATCH with colnum</vt:lpstr>
      <vt:lpstr>2way lookup-indexmatch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Armstrong</dc:creator>
  <cp:lastModifiedBy>Rose Armstrong</cp:lastModifiedBy>
  <dcterms:created xsi:type="dcterms:W3CDTF">2026-02-19T13:55:57Z</dcterms:created>
  <dcterms:modified xsi:type="dcterms:W3CDTF">2026-03-03T21:10:14Z</dcterms:modified>
</cp:coreProperties>
</file>